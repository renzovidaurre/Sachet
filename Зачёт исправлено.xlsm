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filterPrivacy="1" codeName="ЭтаКнига"/>
  <xr:revisionPtr revIDLastSave="0" documentId="13_ncr:1_{365B9213-F398-4EF7-BA93-116FDD112C58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2д" sheetId="1" r:id="rId1"/>
    <sheet name="1д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/>
  <c r="AP44" i="1" l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AP43" i="1"/>
  <c r="AP102" i="1" l="1"/>
  <c r="AP101" i="1"/>
  <c r="AP100" i="1"/>
  <c r="AP99" i="1"/>
  <c r="AP98" i="1"/>
  <c r="AP97" i="1"/>
  <c r="AP96" i="1"/>
  <c r="AP95" i="1"/>
  <c r="AP94" i="1"/>
  <c r="AP93" i="1"/>
  <c r="AP92" i="1"/>
  <c r="AP91" i="1"/>
  <c r="AP90" i="1"/>
  <c r="AP89" i="1"/>
  <c r="AP88" i="1"/>
  <c r="AP87" i="1"/>
  <c r="AP86" i="1"/>
  <c r="AP85" i="1"/>
  <c r="AP84" i="1"/>
  <c r="AP83" i="1"/>
  <c r="AP82" i="1"/>
  <c r="AP81" i="1"/>
  <c r="AP80" i="1"/>
  <c r="AP79" i="1"/>
  <c r="AP78" i="1"/>
  <c r="AP77" i="1"/>
  <c r="AP76" i="1"/>
  <c r="G12" i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I42" i="1" l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C24" i="1"/>
  <c r="C26" i="1" s="1"/>
  <c r="C25" i="1"/>
  <c r="I75" i="1"/>
  <c r="J75" i="1" s="1"/>
  <c r="K75" i="1" s="1"/>
  <c r="L75" i="1" s="1"/>
  <c r="M75" i="1" s="1"/>
  <c r="N75" i="1" s="1"/>
  <c r="O75" i="1" s="1"/>
  <c r="P75" i="1" s="1"/>
  <c r="Q75" i="1" s="1"/>
  <c r="R75" i="1" s="1"/>
  <c r="S75" i="1" s="1"/>
  <c r="T75" i="1" s="1"/>
  <c r="U75" i="1" s="1"/>
  <c r="V75" i="1" s="1"/>
  <c r="W75" i="1" s="1"/>
  <c r="X75" i="1" s="1"/>
  <c r="Y75" i="1" s="1"/>
  <c r="Z75" i="1" s="1"/>
  <c r="AA75" i="1" s="1"/>
  <c r="AB75" i="1" s="1"/>
  <c r="AC75" i="1" s="1"/>
  <c r="AD75" i="1" s="1"/>
  <c r="AE75" i="1" s="1"/>
  <c r="AF75" i="1" s="1"/>
  <c r="AG75" i="1" s="1"/>
  <c r="AH75" i="1" s="1"/>
  <c r="C19" i="1"/>
  <c r="C20" i="1"/>
  <c r="C18" i="2"/>
  <c r="C17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AJ11" i="2"/>
  <c r="AJ13" i="2" s="1"/>
  <c r="F11" i="2"/>
  <c r="F19" i="2" s="1"/>
  <c r="H10" i="2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G10" i="2"/>
  <c r="C3" i="2"/>
  <c r="BX61" i="1" l="1"/>
  <c r="BX46" i="1"/>
  <c r="BX54" i="1"/>
  <c r="BX62" i="1"/>
  <c r="BX47" i="1"/>
  <c r="BX55" i="1"/>
  <c r="BX56" i="1"/>
  <c r="BX64" i="1"/>
  <c r="BX49" i="1"/>
  <c r="BX57" i="1"/>
  <c r="BX65" i="1"/>
  <c r="BX50" i="1"/>
  <c r="BX66" i="1"/>
  <c r="BX68" i="1"/>
  <c r="BX51" i="1"/>
  <c r="BX59" i="1"/>
  <c r="BX67" i="1"/>
  <c r="BX44" i="1"/>
  <c r="BX52" i="1"/>
  <c r="C21" i="1"/>
  <c r="BX53" i="1" s="1"/>
  <c r="C19" i="2"/>
  <c r="G19" i="2" s="1"/>
  <c r="CE102" i="1" l="1"/>
  <c r="CE101" i="1" s="1"/>
  <c r="CE100" i="1" s="1"/>
  <c r="CE99" i="1" s="1"/>
  <c r="CE98" i="1" s="1"/>
  <c r="CE97" i="1" s="1"/>
  <c r="CE96" i="1" s="1"/>
  <c r="CE95" i="1" s="1"/>
  <c r="CE94" i="1" s="1"/>
  <c r="CE93" i="1" s="1"/>
  <c r="CE92" i="1" s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DF69" i="1"/>
  <c r="DF44" i="1"/>
  <c r="DF45" i="1"/>
  <c r="DF46" i="1"/>
  <c r="DF47" i="1"/>
  <c r="DF55" i="1"/>
  <c r="DF64" i="1"/>
  <c r="DF56" i="1"/>
  <c r="DF65" i="1"/>
  <c r="DF57" i="1"/>
  <c r="DF66" i="1"/>
  <c r="DF58" i="1"/>
  <c r="DF67" i="1"/>
  <c r="DF51" i="1"/>
  <c r="DF59" i="1"/>
  <c r="DF68" i="1"/>
  <c r="DF52" i="1"/>
  <c r="DF61" i="1"/>
  <c r="DF60" i="1"/>
  <c r="DF53" i="1"/>
  <c r="DF62" i="1"/>
  <c r="DF54" i="1"/>
  <c r="DF63" i="1"/>
  <c r="DF48" i="1"/>
  <c r="DF49" i="1"/>
  <c r="DF50" i="1"/>
  <c r="BX48" i="1"/>
  <c r="BX60" i="1"/>
  <c r="BX58" i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CV58" i="1" s="1"/>
  <c r="CW58" i="1" s="1"/>
  <c r="BX63" i="1"/>
  <c r="BY63" i="1" s="1"/>
  <c r="BZ63" i="1" s="1"/>
  <c r="CA63" i="1" s="1"/>
  <c r="CB63" i="1" s="1"/>
  <c r="CC63" i="1" s="1"/>
  <c r="CD63" i="1" s="1"/>
  <c r="CE63" i="1" s="1"/>
  <c r="CF63" i="1" s="1"/>
  <c r="CG63" i="1" s="1"/>
  <c r="CH63" i="1" s="1"/>
  <c r="CI63" i="1" s="1"/>
  <c r="CJ63" i="1" s="1"/>
  <c r="CK63" i="1" s="1"/>
  <c r="CL63" i="1" s="1"/>
  <c r="CM63" i="1" s="1"/>
  <c r="CN63" i="1" s="1"/>
  <c r="CO63" i="1" s="1"/>
  <c r="CP63" i="1" s="1"/>
  <c r="CQ63" i="1" s="1"/>
  <c r="CR63" i="1" s="1"/>
  <c r="CS63" i="1" s="1"/>
  <c r="CT63" i="1" s="1"/>
  <c r="CU63" i="1" s="1"/>
  <c r="CV63" i="1" s="1"/>
  <c r="CW63" i="1" s="1"/>
  <c r="BX45" i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CT45" i="1" s="1"/>
  <c r="CU45" i="1" s="1"/>
  <c r="CV45" i="1" s="1"/>
  <c r="CW45" i="1" s="1"/>
  <c r="CO102" i="1"/>
  <c r="CO101" i="1" s="1"/>
  <c r="CO100" i="1" s="1"/>
  <c r="CO99" i="1" s="1"/>
  <c r="CO98" i="1" s="1"/>
  <c r="CO97" i="1" s="1"/>
  <c r="CO96" i="1" s="1"/>
  <c r="CO95" i="1" s="1"/>
  <c r="CO94" i="1" s="1"/>
  <c r="CO93" i="1" s="1"/>
  <c r="CO92" i="1" s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C102" i="1"/>
  <c r="CC101" i="1" s="1"/>
  <c r="CC100" i="1" s="1"/>
  <c r="CC99" i="1" s="1"/>
  <c r="CC98" i="1" s="1"/>
  <c r="CC97" i="1" s="1"/>
  <c r="CC96" i="1" s="1"/>
  <c r="CC95" i="1" s="1"/>
  <c r="CC94" i="1" s="1"/>
  <c r="CC93" i="1" s="1"/>
  <c r="CC92" i="1" s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L102" i="1"/>
  <c r="CL101" i="1" s="1"/>
  <c r="CL100" i="1" s="1"/>
  <c r="CL99" i="1" s="1"/>
  <c r="CL98" i="1" s="1"/>
  <c r="CL97" i="1" s="1"/>
  <c r="CL96" i="1" s="1"/>
  <c r="CL95" i="1" s="1"/>
  <c r="CL94" i="1" s="1"/>
  <c r="CL93" i="1" s="1"/>
  <c r="CL92" i="1" s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X102" i="1"/>
  <c r="CX101" i="1" s="1"/>
  <c r="CX100" i="1" s="1"/>
  <c r="CX99" i="1" s="1"/>
  <c r="CX98" i="1" s="1"/>
  <c r="CX97" i="1" s="1"/>
  <c r="CX96" i="1" s="1"/>
  <c r="CX95" i="1" s="1"/>
  <c r="CX94" i="1" s="1"/>
  <c r="CX93" i="1" s="1"/>
  <c r="CX92" i="1" s="1"/>
  <c r="CX91" i="1" s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BY102" i="1"/>
  <c r="BY101" i="1" s="1"/>
  <c r="BY100" i="1" s="1"/>
  <c r="BY99" i="1" s="1"/>
  <c r="BY98" i="1" s="1"/>
  <c r="BY97" i="1" s="1"/>
  <c r="BY96" i="1" s="1"/>
  <c r="BY95" i="1" s="1"/>
  <c r="BY94" i="1" s="1"/>
  <c r="BY93" i="1" s="1"/>
  <c r="BY92" i="1" s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CJ102" i="1"/>
  <c r="CJ101" i="1" s="1"/>
  <c r="CJ100" i="1" s="1"/>
  <c r="CJ99" i="1" s="1"/>
  <c r="CJ98" i="1" s="1"/>
  <c r="CJ97" i="1" s="1"/>
  <c r="CJ96" i="1" s="1"/>
  <c r="CJ95" i="1" s="1"/>
  <c r="CJ94" i="1" s="1"/>
  <c r="CJ93" i="1" s="1"/>
  <c r="CJ92" i="1" s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S102" i="1"/>
  <c r="CS101" i="1" s="1"/>
  <c r="CS100" i="1" s="1"/>
  <c r="CS99" i="1" s="1"/>
  <c r="CS98" i="1" s="1"/>
  <c r="CS97" i="1" s="1"/>
  <c r="CS96" i="1" s="1"/>
  <c r="CS95" i="1" s="1"/>
  <c r="CS94" i="1" s="1"/>
  <c r="CS93" i="1" s="1"/>
  <c r="CS92" i="1" s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BY62" i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CV62" i="1" s="1"/>
  <c r="CW62" i="1" s="1"/>
  <c r="BY56" i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CV56" i="1" s="1"/>
  <c r="CW56" i="1" s="1"/>
  <c r="BY48" i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CT48" i="1" s="1"/>
  <c r="CU48" i="1" s="1"/>
  <c r="CV48" i="1" s="1"/>
  <c r="CW48" i="1" s="1"/>
  <c r="BY59" i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CV59" i="1" s="1"/>
  <c r="CW59" i="1" s="1"/>
  <c r="BY52" i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CP52" i="1" s="1"/>
  <c r="CQ52" i="1" s="1"/>
  <c r="CR52" i="1" s="1"/>
  <c r="CS52" i="1" s="1"/>
  <c r="CT52" i="1" s="1"/>
  <c r="CU52" i="1" s="1"/>
  <c r="CV52" i="1" s="1"/>
  <c r="CW52" i="1" s="1"/>
  <c r="CN102" i="1"/>
  <c r="CN101" i="1" s="1"/>
  <c r="CN100" i="1" s="1"/>
  <c r="CN99" i="1" s="1"/>
  <c r="CN98" i="1" s="1"/>
  <c r="CN97" i="1" s="1"/>
  <c r="CN96" i="1" s="1"/>
  <c r="CN95" i="1" s="1"/>
  <c r="CN94" i="1" s="1"/>
  <c r="CN93" i="1" s="1"/>
  <c r="CN92" i="1" s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H102" i="1"/>
  <c r="CH101" i="1" s="1"/>
  <c r="CH100" i="1" s="1"/>
  <c r="CH99" i="1" s="1"/>
  <c r="CH98" i="1" s="1"/>
  <c r="CH97" i="1" s="1"/>
  <c r="CH96" i="1" s="1"/>
  <c r="CH95" i="1" s="1"/>
  <c r="CH94" i="1" s="1"/>
  <c r="CH93" i="1" s="1"/>
  <c r="CH92" i="1" s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A102" i="1"/>
  <c r="CA101" i="1" s="1"/>
  <c r="CA100" i="1" s="1"/>
  <c r="CA99" i="1" s="1"/>
  <c r="CA98" i="1" s="1"/>
  <c r="CA97" i="1" s="1"/>
  <c r="CA96" i="1" s="1"/>
  <c r="CA95" i="1" s="1"/>
  <c r="CA94" i="1" s="1"/>
  <c r="CA93" i="1" s="1"/>
  <c r="CA92" i="1" s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Q102" i="1"/>
  <c r="CQ101" i="1" s="1"/>
  <c r="CQ100" i="1" s="1"/>
  <c r="CQ99" i="1" s="1"/>
  <c r="CQ98" i="1" s="1"/>
  <c r="CQ97" i="1" s="1"/>
  <c r="CQ96" i="1" s="1"/>
  <c r="CQ95" i="1" s="1"/>
  <c r="CQ94" i="1" s="1"/>
  <c r="CQ93" i="1" s="1"/>
  <c r="CQ92" i="1" s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BY68" i="1"/>
  <c r="BZ68" i="1" s="1"/>
  <c r="CA68" i="1" s="1"/>
  <c r="CB68" i="1" s="1"/>
  <c r="CC68" i="1" s="1"/>
  <c r="CD68" i="1" s="1"/>
  <c r="CE68" i="1" s="1"/>
  <c r="CF68" i="1" s="1"/>
  <c r="CG68" i="1" s="1"/>
  <c r="CH68" i="1" s="1"/>
  <c r="CI68" i="1" s="1"/>
  <c r="CJ68" i="1" s="1"/>
  <c r="CK68" i="1" s="1"/>
  <c r="CL68" i="1" s="1"/>
  <c r="CM68" i="1" s="1"/>
  <c r="CN68" i="1" s="1"/>
  <c r="CO68" i="1" s="1"/>
  <c r="CP68" i="1" s="1"/>
  <c r="CQ68" i="1" s="1"/>
  <c r="CR68" i="1" s="1"/>
  <c r="CS68" i="1" s="1"/>
  <c r="CT68" i="1" s="1"/>
  <c r="CU68" i="1" s="1"/>
  <c r="CV68" i="1" s="1"/>
  <c r="CW68" i="1" s="1"/>
  <c r="CW102" i="1"/>
  <c r="CW101" i="1" s="1"/>
  <c r="CW100" i="1" s="1"/>
  <c r="CW99" i="1" s="1"/>
  <c r="CW98" i="1" s="1"/>
  <c r="CW97" i="1" s="1"/>
  <c r="CW96" i="1" s="1"/>
  <c r="CW95" i="1" s="1"/>
  <c r="CW94" i="1" s="1"/>
  <c r="CW93" i="1" s="1"/>
  <c r="CW92" i="1" s="1"/>
  <c r="CW91" i="1" s="1"/>
  <c r="CW90" i="1" s="1"/>
  <c r="CW89" i="1" s="1"/>
  <c r="CW88" i="1" s="1"/>
  <c r="CW87" i="1" s="1"/>
  <c r="CW86" i="1" s="1"/>
  <c r="CW85" i="1" s="1"/>
  <c r="CW84" i="1" s="1"/>
  <c r="CW83" i="1" s="1"/>
  <c r="CW82" i="1" s="1"/>
  <c r="CW81" i="1" s="1"/>
  <c r="CW80" i="1" s="1"/>
  <c r="CW79" i="1" s="1"/>
  <c r="CW78" i="1" s="1"/>
  <c r="CW77" i="1" s="1"/>
  <c r="CK102" i="1"/>
  <c r="CK101" i="1" s="1"/>
  <c r="CK100" i="1" s="1"/>
  <c r="CK99" i="1" s="1"/>
  <c r="CK98" i="1" s="1"/>
  <c r="CK97" i="1" s="1"/>
  <c r="CK96" i="1" s="1"/>
  <c r="CK95" i="1" s="1"/>
  <c r="CK94" i="1" s="1"/>
  <c r="CK93" i="1" s="1"/>
  <c r="CK92" i="1" s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R102" i="1"/>
  <c r="CR101" i="1" s="1"/>
  <c r="CR100" i="1" s="1"/>
  <c r="CR99" i="1" s="1"/>
  <c r="CR98" i="1" s="1"/>
  <c r="CR97" i="1" s="1"/>
  <c r="CR96" i="1" s="1"/>
  <c r="CR95" i="1" s="1"/>
  <c r="CR94" i="1" s="1"/>
  <c r="CR93" i="1" s="1"/>
  <c r="CR92" i="1" s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B102" i="1"/>
  <c r="CB101" i="1" s="1"/>
  <c r="CB100" i="1" s="1"/>
  <c r="CB99" i="1" s="1"/>
  <c r="CB98" i="1" s="1"/>
  <c r="CB97" i="1" s="1"/>
  <c r="CB96" i="1" s="1"/>
  <c r="CB95" i="1" s="1"/>
  <c r="CB94" i="1" s="1"/>
  <c r="CB93" i="1" s="1"/>
  <c r="CB92" i="1" s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G102" i="1"/>
  <c r="CG101" i="1" s="1"/>
  <c r="CG100" i="1" s="1"/>
  <c r="CG99" i="1" s="1"/>
  <c r="CG98" i="1" s="1"/>
  <c r="CG97" i="1" s="1"/>
  <c r="CG96" i="1" s="1"/>
  <c r="CG95" i="1" s="1"/>
  <c r="CG94" i="1" s="1"/>
  <c r="CG93" i="1" s="1"/>
  <c r="CG92" i="1" s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D102" i="1"/>
  <c r="CD101" i="1" s="1"/>
  <c r="CD100" i="1" s="1"/>
  <c r="CD99" i="1" s="1"/>
  <c r="CD98" i="1" s="1"/>
  <c r="CD97" i="1" s="1"/>
  <c r="CD96" i="1" s="1"/>
  <c r="CD95" i="1" s="1"/>
  <c r="CD94" i="1" s="1"/>
  <c r="CD93" i="1" s="1"/>
  <c r="CD92" i="1" s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BY47" i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CT47" i="1" s="1"/>
  <c r="CU47" i="1" s="1"/>
  <c r="CV47" i="1" s="1"/>
  <c r="CW47" i="1" s="1"/>
  <c r="CM102" i="1"/>
  <c r="CM101" i="1" s="1"/>
  <c r="CM100" i="1" s="1"/>
  <c r="CM99" i="1" s="1"/>
  <c r="CM98" i="1" s="1"/>
  <c r="CM97" i="1" s="1"/>
  <c r="CM96" i="1" s="1"/>
  <c r="CM95" i="1" s="1"/>
  <c r="CM94" i="1" s="1"/>
  <c r="CM93" i="1" s="1"/>
  <c r="CM92" i="1" s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T102" i="1"/>
  <c r="CT101" i="1" s="1"/>
  <c r="CT100" i="1" s="1"/>
  <c r="CT99" i="1" s="1"/>
  <c r="CT98" i="1" s="1"/>
  <c r="CT97" i="1" s="1"/>
  <c r="CT96" i="1" s="1"/>
  <c r="CT95" i="1" s="1"/>
  <c r="CT94" i="1" s="1"/>
  <c r="CT93" i="1" s="1"/>
  <c r="CT92" i="1" s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BY54" i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CV54" i="1" s="1"/>
  <c r="CW54" i="1" s="1"/>
  <c r="CI102" i="1"/>
  <c r="CI101" i="1" s="1"/>
  <c r="CI100" i="1" s="1"/>
  <c r="CI99" i="1" s="1"/>
  <c r="CI98" i="1" s="1"/>
  <c r="CI97" i="1" s="1"/>
  <c r="CI96" i="1" s="1"/>
  <c r="CI95" i="1" s="1"/>
  <c r="CI94" i="1" s="1"/>
  <c r="CI93" i="1" s="1"/>
  <c r="CI92" i="1" s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F102" i="1"/>
  <c r="CF101" i="1" s="1"/>
  <c r="CF100" i="1" s="1"/>
  <c r="CF99" i="1" s="1"/>
  <c r="CF98" i="1" s="1"/>
  <c r="CF97" i="1" s="1"/>
  <c r="CF96" i="1" s="1"/>
  <c r="CF95" i="1" s="1"/>
  <c r="CF94" i="1" s="1"/>
  <c r="CF93" i="1" s="1"/>
  <c r="CF92" i="1" s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V102" i="1"/>
  <c r="CV101" i="1" s="1"/>
  <c r="CV100" i="1" s="1"/>
  <c r="CV99" i="1" s="1"/>
  <c r="CV98" i="1" s="1"/>
  <c r="CV97" i="1" s="1"/>
  <c r="CV96" i="1" s="1"/>
  <c r="CV95" i="1" s="1"/>
  <c r="CV94" i="1" s="1"/>
  <c r="CV93" i="1" s="1"/>
  <c r="CV92" i="1" s="1"/>
  <c r="CV91" i="1" s="1"/>
  <c r="CV90" i="1" s="1"/>
  <c r="CV89" i="1" s="1"/>
  <c r="CV88" i="1" s="1"/>
  <c r="CV87" i="1" s="1"/>
  <c r="CV86" i="1" s="1"/>
  <c r="CV85" i="1" s="1"/>
  <c r="CV84" i="1" s="1"/>
  <c r="CV83" i="1" s="1"/>
  <c r="CV82" i="1" s="1"/>
  <c r="CV81" i="1" s="1"/>
  <c r="CV80" i="1" s="1"/>
  <c r="CV79" i="1" s="1"/>
  <c r="CV78" i="1" s="1"/>
  <c r="CV77" i="1" s="1"/>
  <c r="CP102" i="1"/>
  <c r="CP101" i="1" s="1"/>
  <c r="CP100" i="1" s="1"/>
  <c r="CP99" i="1" s="1"/>
  <c r="CP98" i="1" s="1"/>
  <c r="CP97" i="1" s="1"/>
  <c r="CP96" i="1" s="1"/>
  <c r="CP95" i="1" s="1"/>
  <c r="CP94" i="1" s="1"/>
  <c r="CP93" i="1" s="1"/>
  <c r="CP92" i="1" s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BY57" i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CV57" i="1" s="1"/>
  <c r="CW57" i="1" s="1"/>
  <c r="BY46" i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 s="1"/>
  <c r="CP46" i="1" s="1"/>
  <c r="CQ46" i="1" s="1"/>
  <c r="CR46" i="1" s="1"/>
  <c r="CS46" i="1" s="1"/>
  <c r="CT46" i="1" s="1"/>
  <c r="CU46" i="1" s="1"/>
  <c r="CV46" i="1" s="1"/>
  <c r="CW46" i="1" s="1"/>
  <c r="CU102" i="1"/>
  <c r="CU101" i="1" s="1"/>
  <c r="CU100" i="1" s="1"/>
  <c r="CU99" i="1" s="1"/>
  <c r="CU98" i="1" s="1"/>
  <c r="CU97" i="1" s="1"/>
  <c r="CU96" i="1" s="1"/>
  <c r="CU95" i="1" s="1"/>
  <c r="CU94" i="1" s="1"/>
  <c r="CU93" i="1" s="1"/>
  <c r="CU92" i="1" s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BZ102" i="1"/>
  <c r="BZ101" i="1" s="1"/>
  <c r="BZ100" i="1" s="1"/>
  <c r="BZ99" i="1" s="1"/>
  <c r="BZ98" i="1" s="1"/>
  <c r="BZ97" i="1" s="1"/>
  <c r="BZ96" i="1" s="1"/>
  <c r="BZ95" i="1" s="1"/>
  <c r="BZ94" i="1" s="1"/>
  <c r="BZ93" i="1" s="1"/>
  <c r="BZ92" i="1" s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Y44" i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CV44" i="1" s="1"/>
  <c r="CW44" i="1" s="1"/>
  <c r="BY49" i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T49" i="1" s="1"/>
  <c r="CU49" i="1" s="1"/>
  <c r="CV49" i="1" s="1"/>
  <c r="CW49" i="1" s="1"/>
  <c r="BY65" i="1"/>
  <c r="BZ65" i="1" s="1"/>
  <c r="CA65" i="1" s="1"/>
  <c r="CB65" i="1" s="1"/>
  <c r="CC65" i="1" s="1"/>
  <c r="CD65" i="1" s="1"/>
  <c r="CE65" i="1" s="1"/>
  <c r="CF65" i="1" s="1"/>
  <c r="CG65" i="1" s="1"/>
  <c r="CH65" i="1" s="1"/>
  <c r="CI65" i="1" s="1"/>
  <c r="CJ65" i="1" s="1"/>
  <c r="CK65" i="1" s="1"/>
  <c r="CL65" i="1" s="1"/>
  <c r="CM65" i="1" s="1"/>
  <c r="CN65" i="1" s="1"/>
  <c r="CO65" i="1" s="1"/>
  <c r="CP65" i="1" s="1"/>
  <c r="CQ65" i="1" s="1"/>
  <c r="CR65" i="1" s="1"/>
  <c r="CS65" i="1" s="1"/>
  <c r="CT65" i="1" s="1"/>
  <c r="CU65" i="1" s="1"/>
  <c r="CV65" i="1" s="1"/>
  <c r="CW65" i="1" s="1"/>
  <c r="BY64" i="1"/>
  <c r="BZ64" i="1" s="1"/>
  <c r="CA64" i="1" s="1"/>
  <c r="CB64" i="1" s="1"/>
  <c r="CC64" i="1" s="1"/>
  <c r="CD64" i="1" s="1"/>
  <c r="CE64" i="1" s="1"/>
  <c r="CF64" i="1" s="1"/>
  <c r="CG64" i="1" s="1"/>
  <c r="CH64" i="1" s="1"/>
  <c r="CI64" i="1" s="1"/>
  <c r="CJ64" i="1" s="1"/>
  <c r="CK64" i="1" s="1"/>
  <c r="CL64" i="1" s="1"/>
  <c r="CM64" i="1" s="1"/>
  <c r="CN64" i="1" s="1"/>
  <c r="CO64" i="1" s="1"/>
  <c r="CP64" i="1" s="1"/>
  <c r="CQ64" i="1" s="1"/>
  <c r="CR64" i="1" s="1"/>
  <c r="CS64" i="1" s="1"/>
  <c r="CT64" i="1" s="1"/>
  <c r="CU64" i="1" s="1"/>
  <c r="CV64" i="1" s="1"/>
  <c r="CW64" i="1" s="1"/>
  <c r="BY50" i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CT50" i="1" s="1"/>
  <c r="CU50" i="1" s="1"/>
  <c r="CV50" i="1" s="1"/>
  <c r="CW50" i="1" s="1"/>
  <c r="BY67" i="1"/>
  <c r="BZ67" i="1" s="1"/>
  <c r="CA67" i="1" s="1"/>
  <c r="CB67" i="1" s="1"/>
  <c r="CC67" i="1" s="1"/>
  <c r="CD67" i="1" s="1"/>
  <c r="CE67" i="1" s="1"/>
  <c r="CF67" i="1" s="1"/>
  <c r="CG67" i="1" s="1"/>
  <c r="CH67" i="1" s="1"/>
  <c r="CI67" i="1" s="1"/>
  <c r="CJ67" i="1" s="1"/>
  <c r="CK67" i="1" s="1"/>
  <c r="CL67" i="1" s="1"/>
  <c r="CM67" i="1" s="1"/>
  <c r="CN67" i="1" s="1"/>
  <c r="CO67" i="1" s="1"/>
  <c r="CP67" i="1" s="1"/>
  <c r="CQ67" i="1" s="1"/>
  <c r="CR67" i="1" s="1"/>
  <c r="CS67" i="1" s="1"/>
  <c r="CT67" i="1" s="1"/>
  <c r="CU67" i="1" s="1"/>
  <c r="CV67" i="1" s="1"/>
  <c r="CW67" i="1" s="1"/>
  <c r="BY60" i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CV60" i="1" s="1"/>
  <c r="CW60" i="1" s="1"/>
  <c r="BY51" i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CR51" i="1" s="1"/>
  <c r="CS51" i="1" s="1"/>
  <c r="CT51" i="1" s="1"/>
  <c r="CU51" i="1" s="1"/>
  <c r="CV51" i="1" s="1"/>
  <c r="CW51" i="1" s="1"/>
  <c r="BY55" i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CV55" i="1" s="1"/>
  <c r="CW55" i="1" s="1"/>
  <c r="BY61" i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CV61" i="1" s="1"/>
  <c r="CW61" i="1" s="1"/>
  <c r="BY53" i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 s="1"/>
  <c r="CP53" i="1" s="1"/>
  <c r="CQ53" i="1" s="1"/>
  <c r="CR53" i="1" s="1"/>
  <c r="CS53" i="1" s="1"/>
  <c r="CT53" i="1" s="1"/>
  <c r="CU53" i="1" s="1"/>
  <c r="CV53" i="1" s="1"/>
  <c r="CW53" i="1" s="1"/>
  <c r="BY66" i="1"/>
  <c r="BZ66" i="1" s="1"/>
  <c r="CA66" i="1" s="1"/>
  <c r="CB66" i="1" s="1"/>
  <c r="CC66" i="1" s="1"/>
  <c r="CD66" i="1" s="1"/>
  <c r="CE66" i="1" s="1"/>
  <c r="CF66" i="1" s="1"/>
  <c r="CG66" i="1" s="1"/>
  <c r="CH66" i="1" s="1"/>
  <c r="CI66" i="1" s="1"/>
  <c r="CJ66" i="1" s="1"/>
  <c r="CK66" i="1" s="1"/>
  <c r="CL66" i="1" s="1"/>
  <c r="CM66" i="1" s="1"/>
  <c r="CN66" i="1" s="1"/>
  <c r="CO66" i="1" s="1"/>
  <c r="CP66" i="1" s="1"/>
  <c r="CQ66" i="1" s="1"/>
  <c r="CR66" i="1" s="1"/>
  <c r="CS66" i="1" s="1"/>
  <c r="CT66" i="1" s="1"/>
  <c r="CU66" i="1" s="1"/>
  <c r="CV66" i="1" s="1"/>
  <c r="CW66" i="1" s="1"/>
  <c r="G17" i="2"/>
  <c r="H17" i="2" l="1"/>
  <c r="H19" i="2"/>
  <c r="I19" i="2" s="1"/>
  <c r="I17" i="2" l="1"/>
  <c r="J17" i="2" l="1"/>
  <c r="J19" i="2"/>
  <c r="K19" i="2" s="1"/>
  <c r="K17" i="2" l="1"/>
  <c r="L17" i="2" l="1"/>
  <c r="L19" i="2"/>
  <c r="M19" i="2" s="1"/>
  <c r="M17" i="2" l="1"/>
  <c r="N17" i="2" l="1"/>
  <c r="N19" i="2"/>
  <c r="O19" i="2" s="1"/>
  <c r="O17" i="2" l="1"/>
  <c r="P17" i="2" l="1"/>
  <c r="P19" i="2"/>
  <c r="Q19" i="2" l="1"/>
  <c r="R19" i="2" s="1"/>
  <c r="Q17" i="2"/>
  <c r="R17" i="2" l="1"/>
  <c r="S19" i="2" s="1"/>
  <c r="S17" i="2" l="1"/>
  <c r="T17" i="2" l="1"/>
  <c r="T19" i="2"/>
  <c r="U19" i="2" s="1"/>
  <c r="U17" i="2" l="1"/>
  <c r="V17" i="2" l="1"/>
  <c r="V19" i="2"/>
  <c r="W19" i="2" s="1"/>
  <c r="W17" i="2" l="1"/>
  <c r="X19" i="2" s="1"/>
  <c r="X17" i="2" l="1"/>
  <c r="Y19" i="2" s="1"/>
  <c r="Y17" i="2" l="1"/>
  <c r="Z19" i="2"/>
  <c r="Z17" i="2" l="1"/>
  <c r="AA17" i="2" l="1"/>
  <c r="AA19" i="2"/>
  <c r="AB19" i="2" s="1"/>
  <c r="AB17" i="2" l="1"/>
  <c r="AC17" i="2" l="1"/>
  <c r="AC19" i="2"/>
  <c r="AD19" i="2" s="1"/>
  <c r="AD17" i="2" l="1"/>
  <c r="AE17" i="2" l="1"/>
  <c r="AE19" i="2"/>
  <c r="AF19" i="2" s="1"/>
  <c r="AF17" i="2" l="1"/>
  <c r="AG17" i="2" l="1"/>
  <c r="AG19" i="2"/>
  <c r="AH19" i="2" s="1"/>
  <c r="AH17" i="2" l="1"/>
  <c r="AI17" i="2" l="1"/>
  <c r="AI19" i="2"/>
  <c r="AI13" i="2" l="1"/>
  <c r="AH13" i="2" s="1"/>
  <c r="AG13" i="2" s="1"/>
  <c r="AF13" i="2" s="1"/>
  <c r="AE13" i="2" s="1"/>
  <c r="AD13" i="2" s="1"/>
  <c r="AC13" i="2" s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DG66" i="1" l="1"/>
  <c r="DG58" i="1"/>
  <c r="DG59" i="1"/>
  <c r="DG49" i="1"/>
  <c r="DG67" i="1"/>
  <c r="DH67" i="1" s="1"/>
  <c r="DG54" i="1"/>
  <c r="DH54" i="1" s="1"/>
  <c r="DG55" i="1"/>
  <c r="DG45" i="1"/>
  <c r="DG68" i="1"/>
  <c r="DG53" i="1"/>
  <c r="DG47" i="1"/>
  <c r="DG61" i="1"/>
  <c r="DG48" i="1"/>
  <c r="DG46" i="1"/>
  <c r="DH46" i="1" s="1"/>
  <c r="DG64" i="1"/>
  <c r="DH64" i="1" s="1"/>
  <c r="DG60" i="1"/>
  <c r="DG57" i="1"/>
  <c r="DH57" i="1" s="1"/>
  <c r="DG63" i="1"/>
  <c r="DG65" i="1"/>
  <c r="DG50" i="1"/>
  <c r="DG56" i="1"/>
  <c r="DH56" i="1" s="1"/>
  <c r="DG52" i="1"/>
  <c r="DG62" i="1"/>
  <c r="DH62" i="1" s="1"/>
  <c r="DG44" i="1"/>
  <c r="DG51" i="1"/>
  <c r="DH51" i="1" s="1"/>
  <c r="BP76" i="1" l="1"/>
  <c r="DH65" i="1"/>
  <c r="DH48" i="1"/>
  <c r="DH61" i="1"/>
  <c r="DH68" i="1"/>
  <c r="DH60" i="1"/>
  <c r="DH44" i="1"/>
  <c r="DH52" i="1"/>
  <c r="DH45" i="1"/>
  <c r="DI45" i="1" s="1"/>
  <c r="DJ45" i="1" s="1"/>
  <c r="DH58" i="1"/>
  <c r="DH66" i="1"/>
  <c r="DI66" i="1" s="1"/>
  <c r="DH55" i="1"/>
  <c r="DH53" i="1"/>
  <c r="DI54" i="1"/>
  <c r="DI67" i="1"/>
  <c r="DI46" i="1"/>
  <c r="DI57" i="1"/>
  <c r="DI62" i="1"/>
  <c r="DI56" i="1"/>
  <c r="DH50" i="1"/>
  <c r="DH63" i="1"/>
  <c r="DH49" i="1"/>
  <c r="DH59" i="1"/>
  <c r="DI64" i="1"/>
  <c r="DI51" i="1"/>
  <c r="DH47" i="1"/>
  <c r="BO76" i="1" l="1"/>
  <c r="DI68" i="1"/>
  <c r="DI65" i="1"/>
  <c r="DJ65" i="1" s="1"/>
  <c r="DI60" i="1"/>
  <c r="DI48" i="1"/>
  <c r="DI44" i="1"/>
  <c r="DI52" i="1"/>
  <c r="DI55" i="1"/>
  <c r="DJ55" i="1" s="1"/>
  <c r="DI61" i="1"/>
  <c r="DI53" i="1"/>
  <c r="DI58" i="1"/>
  <c r="DI63" i="1"/>
  <c r="DJ66" i="1"/>
  <c r="DI50" i="1"/>
  <c r="DJ67" i="1"/>
  <c r="DK45" i="1"/>
  <c r="DJ56" i="1"/>
  <c r="DJ51" i="1"/>
  <c r="DI47" i="1"/>
  <c r="DJ64" i="1"/>
  <c r="DJ57" i="1"/>
  <c r="DI59" i="1"/>
  <c r="DJ62" i="1"/>
  <c r="DI49" i="1"/>
  <c r="DJ54" i="1"/>
  <c r="DJ46" i="1"/>
  <c r="BN76" i="1" l="1"/>
  <c r="DJ48" i="1"/>
  <c r="DJ68" i="1"/>
  <c r="DK68" i="1" s="1"/>
  <c r="DJ60" i="1"/>
  <c r="DK60" i="1" s="1"/>
  <c r="DJ52" i="1"/>
  <c r="DJ58" i="1"/>
  <c r="DJ44" i="1"/>
  <c r="DJ61" i="1"/>
  <c r="DJ53" i="1"/>
  <c r="DJ63" i="1"/>
  <c r="DJ47" i="1"/>
  <c r="DK54" i="1"/>
  <c r="DK55" i="1"/>
  <c r="DK56" i="1"/>
  <c r="DK62" i="1"/>
  <c r="DK66" i="1"/>
  <c r="DJ49" i="1"/>
  <c r="DK57" i="1"/>
  <c r="DK67" i="1"/>
  <c r="DK46" i="1"/>
  <c r="DJ59" i="1"/>
  <c r="DL45" i="1"/>
  <c r="DJ50" i="1"/>
  <c r="DK65" i="1"/>
  <c r="DK64" i="1"/>
  <c r="DK51" i="1"/>
  <c r="BM76" i="1" l="1"/>
  <c r="DK48" i="1"/>
  <c r="DK52" i="1"/>
  <c r="DL52" i="1" s="1"/>
  <c r="DK58" i="1"/>
  <c r="DK53" i="1"/>
  <c r="DL53" i="1" s="1"/>
  <c r="DK44" i="1"/>
  <c r="DK61" i="1"/>
  <c r="DL66" i="1"/>
  <c r="DL51" i="1"/>
  <c r="DL60" i="1"/>
  <c r="DL55" i="1"/>
  <c r="DL62" i="1"/>
  <c r="DL64" i="1"/>
  <c r="DL57" i="1"/>
  <c r="DM45" i="1"/>
  <c r="DL46" i="1"/>
  <c r="DK47" i="1"/>
  <c r="DK59" i="1"/>
  <c r="DL54" i="1"/>
  <c r="DL65" i="1"/>
  <c r="DK49" i="1"/>
  <c r="DL56" i="1"/>
  <c r="DL67" i="1"/>
  <c r="DL68" i="1"/>
  <c r="DK63" i="1"/>
  <c r="DK50" i="1"/>
  <c r="BL76" i="1" l="1"/>
  <c r="DL58" i="1"/>
  <c r="DL48" i="1"/>
  <c r="DL44" i="1"/>
  <c r="DL61" i="1"/>
  <c r="DL59" i="1"/>
  <c r="DM46" i="1"/>
  <c r="DM68" i="1"/>
  <c r="DM64" i="1"/>
  <c r="DL49" i="1"/>
  <c r="DM60" i="1"/>
  <c r="DM56" i="1"/>
  <c r="DM52" i="1"/>
  <c r="DM53" i="1"/>
  <c r="DL63" i="1"/>
  <c r="DM65" i="1"/>
  <c r="DN45" i="1"/>
  <c r="DM51" i="1"/>
  <c r="DM67" i="1"/>
  <c r="DL47" i="1"/>
  <c r="DM62" i="1"/>
  <c r="DL50" i="1"/>
  <c r="DM54" i="1"/>
  <c r="DM57" i="1"/>
  <c r="DM55" i="1"/>
  <c r="DM66" i="1"/>
  <c r="BK76" i="1" l="1"/>
  <c r="DM58" i="1"/>
  <c r="DM48" i="1"/>
  <c r="DN48" i="1" s="1"/>
  <c r="DM44" i="1"/>
  <c r="DM61" i="1"/>
  <c r="DN65" i="1"/>
  <c r="DN56" i="1"/>
  <c r="DM63" i="1"/>
  <c r="DN57" i="1"/>
  <c r="DN62" i="1"/>
  <c r="DN68" i="1"/>
  <c r="DM50" i="1"/>
  <c r="DN67" i="1"/>
  <c r="DM47" i="1"/>
  <c r="DN53" i="1"/>
  <c r="DN46" i="1"/>
  <c r="DN60" i="1"/>
  <c r="DN54" i="1"/>
  <c r="DN51" i="1"/>
  <c r="DM49" i="1"/>
  <c r="DN66" i="1"/>
  <c r="DO45" i="1"/>
  <c r="DN52" i="1"/>
  <c r="DN64" i="1"/>
  <c r="DM59" i="1"/>
  <c r="DN55" i="1"/>
  <c r="BJ76" i="1" l="1"/>
  <c r="DN58" i="1"/>
  <c r="DO58" i="1" s="1"/>
  <c r="DN44" i="1"/>
  <c r="DN61" i="1"/>
  <c r="DO52" i="1"/>
  <c r="DO48" i="1"/>
  <c r="DO67" i="1"/>
  <c r="DO57" i="1"/>
  <c r="DN49" i="1"/>
  <c r="DP45" i="1"/>
  <c r="DO56" i="1"/>
  <c r="DO62" i="1"/>
  <c r="DO51" i="1"/>
  <c r="DN47" i="1"/>
  <c r="DN63" i="1"/>
  <c r="DO46" i="1"/>
  <c r="DO53" i="1"/>
  <c r="DN59" i="1"/>
  <c r="DO54" i="1"/>
  <c r="DN50" i="1"/>
  <c r="DO65" i="1"/>
  <c r="DO55" i="1"/>
  <c r="DO64" i="1"/>
  <c r="DO66" i="1"/>
  <c r="DO60" i="1"/>
  <c r="DO68" i="1"/>
  <c r="BI76" i="1" l="1"/>
  <c r="DO44" i="1"/>
  <c r="DO61" i="1"/>
  <c r="DP68" i="1"/>
  <c r="DP57" i="1"/>
  <c r="DP58" i="1"/>
  <c r="DP67" i="1"/>
  <c r="DP53" i="1"/>
  <c r="DP56" i="1"/>
  <c r="DP66" i="1"/>
  <c r="DP46" i="1"/>
  <c r="DQ45" i="1"/>
  <c r="DP48" i="1"/>
  <c r="DO47" i="1"/>
  <c r="DP51" i="1"/>
  <c r="DP64" i="1"/>
  <c r="DP54" i="1"/>
  <c r="DP65" i="1"/>
  <c r="DO50" i="1"/>
  <c r="DP55" i="1"/>
  <c r="DO59" i="1"/>
  <c r="DO63" i="1"/>
  <c r="DP62" i="1"/>
  <c r="DO49" i="1"/>
  <c r="DP52" i="1"/>
  <c r="DP60" i="1"/>
  <c r="BH76" i="1" l="1"/>
  <c r="DP44" i="1"/>
  <c r="DP61" i="1"/>
  <c r="DQ64" i="1"/>
  <c r="DQ51" i="1"/>
  <c r="DQ48" i="1"/>
  <c r="DP50" i="1"/>
  <c r="DR45" i="1"/>
  <c r="DQ58" i="1"/>
  <c r="DQ60" i="1"/>
  <c r="DP59" i="1"/>
  <c r="DQ53" i="1"/>
  <c r="DQ62" i="1"/>
  <c r="DQ56" i="1"/>
  <c r="DP63" i="1"/>
  <c r="DQ52" i="1"/>
  <c r="DQ65" i="1"/>
  <c r="DQ57" i="1"/>
  <c r="DQ46" i="1"/>
  <c r="DP49" i="1"/>
  <c r="DQ54" i="1"/>
  <c r="DP47" i="1"/>
  <c r="DQ66" i="1"/>
  <c r="DQ67" i="1"/>
  <c r="DQ68" i="1"/>
  <c r="DQ55" i="1"/>
  <c r="BG76" i="1" l="1"/>
  <c r="DQ44" i="1"/>
  <c r="DQ61" i="1"/>
  <c r="DS45" i="1"/>
  <c r="DR57" i="1"/>
  <c r="DR68" i="1"/>
  <c r="DQ50" i="1"/>
  <c r="DQ63" i="1"/>
  <c r="DR51" i="1"/>
  <c r="DQ59" i="1"/>
  <c r="DR56" i="1"/>
  <c r="DQ49" i="1"/>
  <c r="DR62" i="1"/>
  <c r="DR48" i="1"/>
  <c r="DQ47" i="1"/>
  <c r="DR54" i="1"/>
  <c r="DR60" i="1"/>
  <c r="DR67" i="1"/>
  <c r="DR65" i="1"/>
  <c r="DR64" i="1"/>
  <c r="DR55" i="1"/>
  <c r="DR46" i="1"/>
  <c r="DR53" i="1"/>
  <c r="DR66" i="1"/>
  <c r="DR52" i="1"/>
  <c r="DR58" i="1"/>
  <c r="BF76" i="1" l="1"/>
  <c r="DR44" i="1"/>
  <c r="DR61" i="1"/>
  <c r="DR49" i="1"/>
  <c r="DS46" i="1"/>
  <c r="DR63" i="1"/>
  <c r="DS57" i="1"/>
  <c r="DS65" i="1"/>
  <c r="DS53" i="1"/>
  <c r="DS56" i="1"/>
  <c r="DS55" i="1"/>
  <c r="DS48" i="1"/>
  <c r="DR59" i="1"/>
  <c r="DT45" i="1"/>
  <c r="DS66" i="1"/>
  <c r="DR47" i="1"/>
  <c r="DS67" i="1"/>
  <c r="DR50" i="1"/>
  <c r="DS54" i="1"/>
  <c r="DS64" i="1"/>
  <c r="DS51" i="1"/>
  <c r="DS68" i="1"/>
  <c r="DS52" i="1"/>
  <c r="DS58" i="1"/>
  <c r="DS60" i="1"/>
  <c r="DS62" i="1"/>
  <c r="BE76" i="1" l="1"/>
  <c r="DS44" i="1"/>
  <c r="DS61" i="1"/>
  <c r="DT53" i="1"/>
  <c r="DS47" i="1"/>
  <c r="DT68" i="1"/>
  <c r="DT65" i="1"/>
  <c r="DT46" i="1"/>
  <c r="DS50" i="1"/>
  <c r="DT54" i="1"/>
  <c r="DT66" i="1"/>
  <c r="DT67" i="1"/>
  <c r="DT55" i="1"/>
  <c r="DS49" i="1"/>
  <c r="DS59" i="1"/>
  <c r="DT48" i="1"/>
  <c r="DT51" i="1"/>
  <c r="DT57" i="1"/>
  <c r="DT58" i="1"/>
  <c r="DT60" i="1"/>
  <c r="DT64" i="1"/>
  <c r="DU45" i="1"/>
  <c r="DT56" i="1"/>
  <c r="DS63" i="1"/>
  <c r="DT62" i="1"/>
  <c r="DT52" i="1"/>
  <c r="BD76" i="1" l="1"/>
  <c r="DT44" i="1"/>
  <c r="DT61" i="1"/>
  <c r="DU62" i="1"/>
  <c r="DU54" i="1"/>
  <c r="DU55" i="1"/>
  <c r="DU52" i="1"/>
  <c r="DV45" i="1"/>
  <c r="DU67" i="1"/>
  <c r="DU60" i="1"/>
  <c r="DU48" i="1"/>
  <c r="DU58" i="1"/>
  <c r="DU68" i="1"/>
  <c r="DU51" i="1"/>
  <c r="DT59" i="1"/>
  <c r="DU56" i="1"/>
  <c r="DU65" i="1"/>
  <c r="DU57" i="1"/>
  <c r="DT50" i="1"/>
  <c r="DT47" i="1"/>
  <c r="DU66" i="1"/>
  <c r="DT63" i="1"/>
  <c r="DT49" i="1"/>
  <c r="DU46" i="1"/>
  <c r="DU53" i="1"/>
  <c r="DU64" i="1"/>
  <c r="BC76" i="1" l="1"/>
  <c r="DU44" i="1"/>
  <c r="DU61" i="1"/>
  <c r="DU50" i="1"/>
  <c r="DV46" i="1"/>
  <c r="DV68" i="1"/>
  <c r="DV55" i="1"/>
  <c r="DV48" i="1"/>
  <c r="DV57" i="1"/>
  <c r="DV60" i="1"/>
  <c r="DV65" i="1"/>
  <c r="DU59" i="1"/>
  <c r="DV58" i="1"/>
  <c r="DV54" i="1"/>
  <c r="DV52" i="1"/>
  <c r="DU63" i="1"/>
  <c r="DV67" i="1"/>
  <c r="DV53" i="1"/>
  <c r="DV56" i="1"/>
  <c r="DU49" i="1"/>
  <c r="DU47" i="1"/>
  <c r="DW45" i="1"/>
  <c r="DV62" i="1"/>
  <c r="DV51" i="1"/>
  <c r="DV66" i="1"/>
  <c r="DV64" i="1"/>
  <c r="BB76" i="1" l="1"/>
  <c r="DV44" i="1"/>
  <c r="DV61" i="1"/>
  <c r="DW65" i="1"/>
  <c r="DW55" i="1"/>
  <c r="DW54" i="1"/>
  <c r="DW60" i="1"/>
  <c r="DW62" i="1"/>
  <c r="DX45" i="1"/>
  <c r="DW58" i="1"/>
  <c r="DW68" i="1"/>
  <c r="DW67" i="1"/>
  <c r="DW64" i="1"/>
  <c r="DV59" i="1"/>
  <c r="DV49" i="1"/>
  <c r="DW56" i="1"/>
  <c r="DW53" i="1"/>
  <c r="DV63" i="1"/>
  <c r="DW57" i="1"/>
  <c r="DW66" i="1"/>
  <c r="DW46" i="1"/>
  <c r="DV47" i="1"/>
  <c r="DW52" i="1"/>
  <c r="DW48" i="1"/>
  <c r="DV50" i="1"/>
  <c r="DW51" i="1"/>
  <c r="BA76" i="1" l="1"/>
  <c r="DW44" i="1"/>
  <c r="DW61" i="1"/>
  <c r="DX66" i="1"/>
  <c r="DX56" i="1"/>
  <c r="DX52" i="1"/>
  <c r="DX67" i="1"/>
  <c r="DX55" i="1"/>
  <c r="DY45" i="1"/>
  <c r="DW49" i="1"/>
  <c r="DX62" i="1"/>
  <c r="DX54" i="1"/>
  <c r="DW50" i="1"/>
  <c r="DW59" i="1"/>
  <c r="DX60" i="1"/>
  <c r="DX51" i="1"/>
  <c r="DX64" i="1"/>
  <c r="DX57" i="1"/>
  <c r="DW63" i="1"/>
  <c r="DX68" i="1"/>
  <c r="DX65" i="1"/>
  <c r="DW47" i="1"/>
  <c r="DX48" i="1"/>
  <c r="DX46" i="1"/>
  <c r="DX53" i="1"/>
  <c r="DX58" i="1"/>
  <c r="AZ76" i="1" l="1"/>
  <c r="DX44" i="1"/>
  <c r="DX61" i="1"/>
  <c r="DY65" i="1"/>
  <c r="DY64" i="1"/>
  <c r="DY54" i="1"/>
  <c r="DY68" i="1"/>
  <c r="DX50" i="1"/>
  <c r="DY51" i="1"/>
  <c r="DY60" i="1"/>
  <c r="DY62" i="1"/>
  <c r="DY52" i="1"/>
  <c r="DY46" i="1"/>
  <c r="DZ45" i="1"/>
  <c r="DX63" i="1"/>
  <c r="DY48" i="1"/>
  <c r="DY55" i="1"/>
  <c r="DY56" i="1"/>
  <c r="DY57" i="1"/>
  <c r="DX49" i="1"/>
  <c r="DY67" i="1"/>
  <c r="DY66" i="1"/>
  <c r="DY53" i="1"/>
  <c r="DX47" i="1"/>
  <c r="DY58" i="1"/>
  <c r="DX59" i="1"/>
  <c r="AY76" i="1" l="1"/>
  <c r="DY44" i="1"/>
  <c r="DY61" i="1"/>
  <c r="DZ68" i="1"/>
  <c r="DZ58" i="1"/>
  <c r="DZ56" i="1"/>
  <c r="DZ60" i="1"/>
  <c r="DZ64" i="1"/>
  <c r="DY59" i="1"/>
  <c r="EA45" i="1"/>
  <c r="DZ67" i="1"/>
  <c r="DZ55" i="1"/>
  <c r="DZ54" i="1"/>
  <c r="DY47" i="1"/>
  <c r="DZ66" i="1"/>
  <c r="DZ46" i="1"/>
  <c r="DY49" i="1"/>
  <c r="DZ48" i="1"/>
  <c r="DZ51" i="1"/>
  <c r="DZ52" i="1"/>
  <c r="DZ65" i="1"/>
  <c r="DZ57" i="1"/>
  <c r="DY63" i="1"/>
  <c r="DY50" i="1"/>
  <c r="DZ53" i="1"/>
  <c r="DZ62" i="1"/>
  <c r="AX76" i="1" l="1"/>
  <c r="DZ44" i="1"/>
  <c r="DZ61" i="1"/>
  <c r="DZ63" i="1"/>
  <c r="EA60" i="1"/>
  <c r="EA46" i="1"/>
  <c r="EA53" i="1"/>
  <c r="EA54" i="1"/>
  <c r="EA51" i="1"/>
  <c r="EA57" i="1"/>
  <c r="EA55" i="1"/>
  <c r="EA56" i="1"/>
  <c r="EA67" i="1"/>
  <c r="EA66" i="1"/>
  <c r="DZ59" i="1"/>
  <c r="EA58" i="1"/>
  <c r="EA52" i="1"/>
  <c r="EB45" i="1"/>
  <c r="EA48" i="1"/>
  <c r="EA65" i="1"/>
  <c r="DZ50" i="1"/>
  <c r="DZ47" i="1"/>
  <c r="EA64" i="1"/>
  <c r="EA68" i="1"/>
  <c r="EA62" i="1"/>
  <c r="DZ49" i="1"/>
  <c r="AW76" i="1" l="1"/>
  <c r="EA44" i="1"/>
  <c r="EA61" i="1"/>
  <c r="EB66" i="1"/>
  <c r="EB53" i="1"/>
  <c r="EB52" i="1"/>
  <c r="EB67" i="1"/>
  <c r="EB57" i="1"/>
  <c r="EB46" i="1"/>
  <c r="EA47" i="1"/>
  <c r="EA50" i="1"/>
  <c r="EB58" i="1"/>
  <c r="EB56" i="1"/>
  <c r="EB60" i="1"/>
  <c r="EB62" i="1"/>
  <c r="EB68" i="1"/>
  <c r="EB48" i="1"/>
  <c r="EB51" i="1"/>
  <c r="EA49" i="1"/>
  <c r="EC45" i="1"/>
  <c r="EB54" i="1"/>
  <c r="EA63" i="1"/>
  <c r="EB64" i="1"/>
  <c r="EA59" i="1"/>
  <c r="EB65" i="1"/>
  <c r="EB55" i="1"/>
  <c r="AV76" i="1" l="1"/>
  <c r="EB44" i="1"/>
  <c r="EB61" i="1"/>
  <c r="EB50" i="1"/>
  <c r="ED45" i="1"/>
  <c r="EC65" i="1"/>
  <c r="EC48" i="1"/>
  <c r="EC53" i="1"/>
  <c r="EC60" i="1"/>
  <c r="EC67" i="1"/>
  <c r="EC56" i="1"/>
  <c r="EC52" i="1"/>
  <c r="EC66" i="1"/>
  <c r="EC57" i="1"/>
  <c r="EB59" i="1"/>
  <c r="EB47" i="1"/>
  <c r="EC64" i="1"/>
  <c r="EC68" i="1"/>
  <c r="EC51" i="1"/>
  <c r="EB63" i="1"/>
  <c r="EC46" i="1"/>
  <c r="EC54" i="1"/>
  <c r="EB49" i="1"/>
  <c r="EC58" i="1"/>
  <c r="EC55" i="1"/>
  <c r="EC62" i="1"/>
  <c r="AU76" i="1" l="1"/>
  <c r="EC44" i="1"/>
  <c r="EC61" i="1"/>
  <c r="ED60" i="1"/>
  <c r="ED55" i="1"/>
  <c r="ED65" i="1"/>
  <c r="ED51" i="1"/>
  <c r="ED62" i="1"/>
  <c r="EC47" i="1"/>
  <c r="ED58" i="1"/>
  <c r="ED56" i="1"/>
  <c r="EE45" i="1"/>
  <c r="ED64" i="1"/>
  <c r="ED52" i="1"/>
  <c r="ED46" i="1"/>
  <c r="EC59" i="1"/>
  <c r="ED53" i="1"/>
  <c r="ED54" i="1"/>
  <c r="EC49" i="1"/>
  <c r="ED68" i="1"/>
  <c r="ED48" i="1"/>
  <c r="ED66" i="1"/>
  <c r="EC63" i="1"/>
  <c r="ED57" i="1"/>
  <c r="ED67" i="1"/>
  <c r="EC50" i="1"/>
  <c r="AT76" i="1" l="1"/>
  <c r="ED44" i="1"/>
  <c r="ED61" i="1"/>
  <c r="EE52" i="1"/>
  <c r="EE54" i="1"/>
  <c r="EE65" i="1"/>
  <c r="EE57" i="1"/>
  <c r="EE55" i="1"/>
  <c r="EE48" i="1"/>
  <c r="EE67" i="1"/>
  <c r="EE66" i="1"/>
  <c r="ED47" i="1"/>
  <c r="EE68" i="1"/>
  <c r="EE64" i="1"/>
  <c r="EE58" i="1"/>
  <c r="EE60" i="1"/>
  <c r="EE56" i="1"/>
  <c r="EE53" i="1"/>
  <c r="ED63" i="1"/>
  <c r="ED59" i="1"/>
  <c r="EE62" i="1"/>
  <c r="EE51" i="1"/>
  <c r="ED50" i="1"/>
  <c r="ED49" i="1"/>
  <c r="EE46" i="1"/>
  <c r="AS76" i="1" l="1"/>
  <c r="EE44" i="1"/>
  <c r="EE61" i="1"/>
  <c r="EE49" i="1"/>
  <c r="EE63" i="1"/>
  <c r="EE47" i="1"/>
  <c r="EE50" i="1"/>
  <c r="EE59" i="1"/>
  <c r="AQ76" i="1" l="1"/>
  <c r="AR76" i="1"/>
  <c r="AG45" i="1" l="1"/>
  <c r="BP78" i="1"/>
  <c r="AF45" i="1" l="1"/>
  <c r="BO78" i="1"/>
  <c r="AG46" i="1"/>
  <c r="BP79" i="1"/>
  <c r="AG68" i="1"/>
  <c r="BP101" i="1"/>
  <c r="AG54" i="1"/>
  <c r="BP87" i="1"/>
  <c r="AG66" i="1"/>
  <c r="BP99" i="1"/>
  <c r="AG48" i="1"/>
  <c r="BP81" i="1"/>
  <c r="AG58" i="1"/>
  <c r="BP91" i="1"/>
  <c r="AG51" i="1"/>
  <c r="BP84" i="1"/>
  <c r="AG55" i="1"/>
  <c r="BP88" i="1"/>
  <c r="AG52" i="1"/>
  <c r="BP85" i="1"/>
  <c r="AG53" i="1"/>
  <c r="BP86" i="1"/>
  <c r="AG67" i="1"/>
  <c r="BP100" i="1"/>
  <c r="AG60" i="1"/>
  <c r="BP93" i="1"/>
  <c r="AG65" i="1"/>
  <c r="BP98" i="1"/>
  <c r="AG62" i="1"/>
  <c r="BP95" i="1"/>
  <c r="BP102" i="1"/>
  <c r="AG56" i="1"/>
  <c r="BP89" i="1"/>
  <c r="AG57" i="1"/>
  <c r="BP90" i="1"/>
  <c r="AG64" i="1"/>
  <c r="BP97" i="1"/>
  <c r="AF62" i="1" l="1"/>
  <c r="BO95" i="1"/>
  <c r="AG61" i="1"/>
  <c r="BP94" i="1"/>
  <c r="AF60" i="1"/>
  <c r="BO93" i="1"/>
  <c r="AF52" i="1"/>
  <c r="BO85" i="1"/>
  <c r="AF51" i="1"/>
  <c r="BO84" i="1"/>
  <c r="AF68" i="1"/>
  <c r="BO101" i="1"/>
  <c r="AG50" i="1"/>
  <c r="BP83" i="1"/>
  <c r="AF57" i="1"/>
  <c r="BO90" i="1"/>
  <c r="AF67" i="1"/>
  <c r="BO100" i="1"/>
  <c r="AF58" i="1"/>
  <c r="BO91" i="1"/>
  <c r="AF66" i="1"/>
  <c r="BO99" i="1"/>
  <c r="AF46" i="1"/>
  <c r="BO79" i="1"/>
  <c r="AF64" i="1"/>
  <c r="BO97" i="1"/>
  <c r="AF55" i="1"/>
  <c r="BO88" i="1"/>
  <c r="AG47" i="1"/>
  <c r="BP80" i="1"/>
  <c r="AF56" i="1"/>
  <c r="BO89" i="1"/>
  <c r="AF65" i="1"/>
  <c r="BO98" i="1"/>
  <c r="AG59" i="1"/>
  <c r="BP92" i="1"/>
  <c r="AE45" i="1"/>
  <c r="BN78" i="1"/>
  <c r="AF53" i="1"/>
  <c r="BO86" i="1"/>
  <c r="BO102" i="1"/>
  <c r="AG44" i="1"/>
  <c r="BP77" i="1"/>
  <c r="AG63" i="1"/>
  <c r="BP96" i="1"/>
  <c r="AF48" i="1"/>
  <c r="BO81" i="1"/>
  <c r="AF54" i="1"/>
  <c r="BO87" i="1"/>
  <c r="AG49" i="1"/>
  <c r="BP82" i="1"/>
  <c r="BN102" i="1" l="1"/>
  <c r="AF47" i="1"/>
  <c r="BO80" i="1"/>
  <c r="AE52" i="1"/>
  <c r="BN85" i="1"/>
  <c r="AE57" i="1"/>
  <c r="BN90" i="1"/>
  <c r="EE102" i="1"/>
  <c r="EE101" i="1" s="1"/>
  <c r="EE100" i="1" s="1"/>
  <c r="EE99" i="1" s="1"/>
  <c r="EE98" i="1" s="1"/>
  <c r="EE97" i="1" s="1"/>
  <c r="AE66" i="1"/>
  <c r="BN99" i="1"/>
  <c r="AE46" i="1"/>
  <c r="BN79" i="1"/>
  <c r="AE48" i="1"/>
  <c r="BN81" i="1"/>
  <c r="AE53" i="1"/>
  <c r="BN86" i="1"/>
  <c r="AE55" i="1"/>
  <c r="BN88" i="1"/>
  <c r="AF50" i="1"/>
  <c r="BO83" i="1"/>
  <c r="AE60" i="1"/>
  <c r="BN93" i="1"/>
  <c r="AE58" i="1"/>
  <c r="BN91" i="1"/>
  <c r="AF49" i="1"/>
  <c r="BO82" i="1"/>
  <c r="AF63" i="1"/>
  <c r="BO96" i="1"/>
  <c r="AD45" i="1"/>
  <c r="BM78" i="1"/>
  <c r="AE65" i="1"/>
  <c r="BN98" i="1"/>
  <c r="AE68" i="1"/>
  <c r="BN101" i="1"/>
  <c r="AF61" i="1"/>
  <c r="BO94" i="1"/>
  <c r="AE64" i="1"/>
  <c r="BN97" i="1"/>
  <c r="AE67" i="1"/>
  <c r="BN100" i="1"/>
  <c r="AE54" i="1"/>
  <c r="BN87" i="1"/>
  <c r="AF44" i="1"/>
  <c r="BO77" i="1"/>
  <c r="AF59" i="1"/>
  <c r="BO92" i="1"/>
  <c r="AE56" i="1"/>
  <c r="BN89" i="1"/>
  <c r="AE51" i="1"/>
  <c r="BN84" i="1"/>
  <c r="AE62" i="1"/>
  <c r="BN95" i="1"/>
  <c r="EE96" i="1" l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ED102" i="1"/>
  <c r="ED101" i="1" s="1"/>
  <c r="ED100" i="1" s="1"/>
  <c r="ED99" i="1" s="1"/>
  <c r="ED98" i="1" s="1"/>
  <c r="ED97" i="1" s="1"/>
  <c r="AD55" i="1"/>
  <c r="BM88" i="1"/>
  <c r="AD58" i="1"/>
  <c r="BM91" i="1"/>
  <c r="AE47" i="1"/>
  <c r="BN80" i="1"/>
  <c r="AD66" i="1"/>
  <c r="BM99" i="1"/>
  <c r="AD64" i="1"/>
  <c r="BM97" i="1"/>
  <c r="AD60" i="1"/>
  <c r="BM93" i="1"/>
  <c r="AD53" i="1"/>
  <c r="BM86" i="1"/>
  <c r="AD46" i="1"/>
  <c r="BM79" i="1"/>
  <c r="AD56" i="1"/>
  <c r="BM89" i="1"/>
  <c r="AD62" i="1"/>
  <c r="BM95" i="1"/>
  <c r="AE44" i="1"/>
  <c r="BN77" i="1"/>
  <c r="AE61" i="1"/>
  <c r="BN94" i="1"/>
  <c r="AE63" i="1"/>
  <c r="BN96" i="1"/>
  <c r="AD57" i="1"/>
  <c r="BM90" i="1"/>
  <c r="BM102" i="1"/>
  <c r="AD65" i="1"/>
  <c r="BM98" i="1"/>
  <c r="AE50" i="1"/>
  <c r="BN83" i="1"/>
  <c r="AD48" i="1"/>
  <c r="BM81" i="1"/>
  <c r="AD67" i="1"/>
  <c r="BM100" i="1"/>
  <c r="AE59" i="1"/>
  <c r="BN92" i="1"/>
  <c r="AC45" i="1"/>
  <c r="BL78" i="1"/>
  <c r="AD51" i="1"/>
  <c r="BM84" i="1"/>
  <c r="AD54" i="1"/>
  <c r="BM87" i="1"/>
  <c r="AD68" i="1"/>
  <c r="BM101" i="1"/>
  <c r="AE49" i="1"/>
  <c r="BN82" i="1"/>
  <c r="AD52" i="1"/>
  <c r="BM85" i="1"/>
  <c r="ED96" i="1" l="1"/>
  <c r="ED95" i="1" s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ED77" i="1" s="1"/>
  <c r="AC68" i="1"/>
  <c r="BL101" i="1"/>
  <c r="AC46" i="1"/>
  <c r="BL79" i="1"/>
  <c r="AC54" i="1"/>
  <c r="BL87" i="1"/>
  <c r="AC67" i="1"/>
  <c r="BL100" i="1"/>
  <c r="BL102" i="1"/>
  <c r="AD44" i="1"/>
  <c r="BM77" i="1"/>
  <c r="AC53" i="1"/>
  <c r="BL86" i="1"/>
  <c r="AD47" i="1"/>
  <c r="BM80" i="1"/>
  <c r="AD59" i="1"/>
  <c r="BM92" i="1"/>
  <c r="AC65" i="1"/>
  <c r="BL98" i="1"/>
  <c r="AC52" i="1"/>
  <c r="BL85" i="1"/>
  <c r="AC51" i="1"/>
  <c r="BL84" i="1"/>
  <c r="AC48" i="1"/>
  <c r="BL81" i="1"/>
  <c r="AC57" i="1"/>
  <c r="BL90" i="1"/>
  <c r="AC62" i="1"/>
  <c r="BL95" i="1"/>
  <c r="AC60" i="1"/>
  <c r="BL93" i="1"/>
  <c r="AC66" i="1"/>
  <c r="BL99" i="1"/>
  <c r="EC102" i="1"/>
  <c r="EC101" i="1" s="1"/>
  <c r="EC100" i="1" s="1"/>
  <c r="EC99" i="1" s="1"/>
  <c r="EC98" i="1" s="1"/>
  <c r="EC97" i="1" s="1"/>
  <c r="AC58" i="1"/>
  <c r="BL91" i="1"/>
  <c r="AD61" i="1"/>
  <c r="BM94" i="1"/>
  <c r="AD49" i="1"/>
  <c r="BM82" i="1"/>
  <c r="AB45" i="1"/>
  <c r="BK78" i="1"/>
  <c r="AD50" i="1"/>
  <c r="BM83" i="1"/>
  <c r="AD63" i="1"/>
  <c r="BM96" i="1"/>
  <c r="AC56" i="1"/>
  <c r="BL89" i="1"/>
  <c r="AC64" i="1"/>
  <c r="BL97" i="1"/>
  <c r="AC55" i="1"/>
  <c r="BL88" i="1"/>
  <c r="EC96" i="1" l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AB52" i="1"/>
  <c r="BK85" i="1"/>
  <c r="AB64" i="1"/>
  <c r="BK97" i="1"/>
  <c r="AA45" i="1"/>
  <c r="BJ78" i="1"/>
  <c r="AB53" i="1"/>
  <c r="BK86" i="1"/>
  <c r="AB54" i="1"/>
  <c r="BK87" i="1"/>
  <c r="AB57" i="1"/>
  <c r="BK90" i="1"/>
  <c r="AB65" i="1"/>
  <c r="BK98" i="1"/>
  <c r="AB56" i="1"/>
  <c r="BK89" i="1"/>
  <c r="AC49" i="1"/>
  <c r="BL82" i="1"/>
  <c r="AC44" i="1"/>
  <c r="BL77" i="1"/>
  <c r="AB66" i="1"/>
  <c r="BK99" i="1"/>
  <c r="AB48" i="1"/>
  <c r="BK81" i="1"/>
  <c r="AC59" i="1"/>
  <c r="BL92" i="1"/>
  <c r="AF77" i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BK102" i="1"/>
  <c r="AB46" i="1"/>
  <c r="BK79" i="1"/>
  <c r="AB55" i="1"/>
  <c r="BK88" i="1"/>
  <c r="AC61" i="1"/>
  <c r="BL94" i="1"/>
  <c r="EB102" i="1"/>
  <c r="EB101" i="1" s="1"/>
  <c r="EB100" i="1" s="1"/>
  <c r="EB99" i="1" s="1"/>
  <c r="EB98" i="1" s="1"/>
  <c r="EB97" i="1" s="1"/>
  <c r="AB60" i="1"/>
  <c r="BK93" i="1"/>
  <c r="AB51" i="1"/>
  <c r="BK84" i="1"/>
  <c r="AB62" i="1"/>
  <c r="BK95" i="1"/>
  <c r="AC63" i="1"/>
  <c r="BL96" i="1"/>
  <c r="AC50" i="1"/>
  <c r="BL83" i="1"/>
  <c r="AB58" i="1"/>
  <c r="BK91" i="1"/>
  <c r="AC47" i="1"/>
  <c r="BL80" i="1"/>
  <c r="AB67" i="1"/>
  <c r="BK100" i="1"/>
  <c r="AB68" i="1"/>
  <c r="BK101" i="1"/>
  <c r="AE77" i="1" l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EA102" i="1"/>
  <c r="EA101" i="1" s="1"/>
  <c r="EA100" i="1" s="1"/>
  <c r="EA99" i="1" s="1"/>
  <c r="EA98" i="1" s="1"/>
  <c r="EA97" i="1" s="1"/>
  <c r="EB96" i="1"/>
  <c r="EB95" i="1" s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EB77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A55" i="1"/>
  <c r="BJ88" i="1"/>
  <c r="AA65" i="1"/>
  <c r="BJ98" i="1"/>
  <c r="AA53" i="1"/>
  <c r="BJ86" i="1"/>
  <c r="AB59" i="1"/>
  <c r="BK92" i="1"/>
  <c r="AB44" i="1"/>
  <c r="BK77" i="1"/>
  <c r="AA57" i="1"/>
  <c r="BJ90" i="1"/>
  <c r="Z45" i="1"/>
  <c r="BI78" i="1"/>
  <c r="AB50" i="1"/>
  <c r="BK83" i="1"/>
  <c r="AA67" i="1"/>
  <c r="BJ100" i="1"/>
  <c r="AA60" i="1"/>
  <c r="BJ93" i="1"/>
  <c r="AA46" i="1"/>
  <c r="BJ79" i="1"/>
  <c r="AA48" i="1"/>
  <c r="BJ81" i="1"/>
  <c r="AB49" i="1"/>
  <c r="BK82" i="1"/>
  <c r="AA64" i="1"/>
  <c r="BJ97" i="1"/>
  <c r="AA58" i="1"/>
  <c r="BJ91" i="1"/>
  <c r="AA51" i="1"/>
  <c r="BJ84" i="1"/>
  <c r="AB47" i="1"/>
  <c r="BK80" i="1"/>
  <c r="AB63" i="1"/>
  <c r="BK96" i="1"/>
  <c r="AA62" i="1"/>
  <c r="BJ95" i="1"/>
  <c r="AA68" i="1"/>
  <c r="BJ101" i="1"/>
  <c r="AB61" i="1"/>
  <c r="BK94" i="1"/>
  <c r="BJ102" i="1"/>
  <c r="AA66" i="1"/>
  <c r="BJ99" i="1"/>
  <c r="AA56" i="1"/>
  <c r="BJ89" i="1"/>
  <c r="AA54" i="1"/>
  <c r="BJ87" i="1"/>
  <c r="AA52" i="1"/>
  <c r="BJ85" i="1"/>
  <c r="Z68" i="1" l="1"/>
  <c r="BI101" i="1"/>
  <c r="DZ102" i="1"/>
  <c r="DZ101" i="1" s="1"/>
  <c r="DZ100" i="1" s="1"/>
  <c r="DZ99" i="1" s="1"/>
  <c r="DZ98" i="1" s="1"/>
  <c r="DZ97" i="1" s="1"/>
  <c r="Z53" i="1"/>
  <c r="BI86" i="1"/>
  <c r="Z56" i="1"/>
  <c r="BI89" i="1"/>
  <c r="Z60" i="1"/>
  <c r="BI93" i="1"/>
  <c r="Z66" i="1"/>
  <c r="BI99" i="1"/>
  <c r="Z62" i="1"/>
  <c r="BI95" i="1"/>
  <c r="Z58" i="1"/>
  <c r="BI91" i="1"/>
  <c r="Z48" i="1"/>
  <c r="BI81" i="1"/>
  <c r="Z57" i="1"/>
  <c r="BI90" i="1"/>
  <c r="Z65" i="1"/>
  <c r="BI98" i="1"/>
  <c r="Y45" i="1"/>
  <c r="BH78" i="1"/>
  <c r="Z52" i="1"/>
  <c r="BI85" i="1"/>
  <c r="BI102" i="1"/>
  <c r="AA63" i="1"/>
  <c r="BJ96" i="1"/>
  <c r="Z64" i="1"/>
  <c r="BI97" i="1"/>
  <c r="Z46" i="1"/>
  <c r="BI79" i="1"/>
  <c r="Z67" i="1"/>
  <c r="BI100" i="1"/>
  <c r="AA44" i="1"/>
  <c r="BJ77" i="1"/>
  <c r="AA49" i="1"/>
  <c r="BJ82" i="1"/>
  <c r="Z54" i="1"/>
  <c r="BI87" i="1"/>
  <c r="AA61" i="1"/>
  <c r="BJ94" i="1"/>
  <c r="AA47" i="1"/>
  <c r="BJ80" i="1"/>
  <c r="AA50" i="1"/>
  <c r="BJ83" i="1"/>
  <c r="AA59" i="1"/>
  <c r="BJ92" i="1"/>
  <c r="Z51" i="1"/>
  <c r="BI84" i="1"/>
  <c r="EA96" i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Z55" i="1"/>
  <c r="BI88" i="1"/>
  <c r="Y64" i="1" l="1"/>
  <c r="BH97" i="1"/>
  <c r="Z47" i="1"/>
  <c r="BI80" i="1"/>
  <c r="Y48" i="1"/>
  <c r="BH81" i="1"/>
  <c r="Z59" i="1"/>
  <c r="BI92" i="1"/>
  <c r="Z61" i="1"/>
  <c r="BI94" i="1"/>
  <c r="Z44" i="1"/>
  <c r="BI77" i="1"/>
  <c r="Z63" i="1"/>
  <c r="BI96" i="1"/>
  <c r="Y65" i="1"/>
  <c r="BH98" i="1"/>
  <c r="Y58" i="1"/>
  <c r="BH91" i="1"/>
  <c r="Y56" i="1"/>
  <c r="BH89" i="1"/>
  <c r="Y60" i="1"/>
  <c r="BH93" i="1"/>
  <c r="X45" i="1"/>
  <c r="BG78" i="1"/>
  <c r="Z50" i="1"/>
  <c r="BI83" i="1"/>
  <c r="Y54" i="1"/>
  <c r="BH87" i="1"/>
  <c r="Y67" i="1"/>
  <c r="BH100" i="1"/>
  <c r="BH102" i="1"/>
  <c r="Y57" i="1"/>
  <c r="BH90" i="1"/>
  <c r="Y62" i="1"/>
  <c r="BH95" i="1"/>
  <c r="Y53" i="1"/>
  <c r="BH86" i="1"/>
  <c r="DY102" i="1"/>
  <c r="DY101" i="1" s="1"/>
  <c r="DY100" i="1" s="1"/>
  <c r="DY99" i="1" s="1"/>
  <c r="DY98" i="1" s="1"/>
  <c r="DY97" i="1" s="1"/>
  <c r="DZ96" i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AC77" i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Z49" i="1"/>
  <c r="BI82" i="1"/>
  <c r="Y46" i="1"/>
  <c r="BH79" i="1"/>
  <c r="Y52" i="1"/>
  <c r="BH85" i="1"/>
  <c r="Y66" i="1"/>
  <c r="BH99" i="1"/>
  <c r="Y51" i="1"/>
  <c r="BH84" i="1"/>
  <c r="Y55" i="1"/>
  <c r="BH88" i="1"/>
  <c r="Y68" i="1"/>
  <c r="BH101" i="1"/>
  <c r="DY96" i="1" l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X66" i="1"/>
  <c r="BG99" i="1"/>
  <c r="Y49" i="1"/>
  <c r="BH82" i="1"/>
  <c r="X53" i="1"/>
  <c r="BG86" i="1"/>
  <c r="X67" i="1"/>
  <c r="BG100" i="1"/>
  <c r="X65" i="1"/>
  <c r="BG98" i="1"/>
  <c r="Y59" i="1"/>
  <c r="BH92" i="1"/>
  <c r="DX102" i="1"/>
  <c r="DX101" i="1" s="1"/>
  <c r="DX100" i="1" s="1"/>
  <c r="DX99" i="1" s="1"/>
  <c r="DX98" i="1" s="1"/>
  <c r="DX97" i="1" s="1"/>
  <c r="X68" i="1"/>
  <c r="BG101" i="1"/>
  <c r="X62" i="1"/>
  <c r="BG95" i="1"/>
  <c r="X54" i="1"/>
  <c r="BG87" i="1"/>
  <c r="X60" i="1"/>
  <c r="BG93" i="1"/>
  <c r="Y63" i="1"/>
  <c r="BH96" i="1"/>
  <c r="X48" i="1"/>
  <c r="BG81" i="1"/>
  <c r="X55" i="1"/>
  <c r="BG88" i="1"/>
  <c r="X52" i="1"/>
  <c r="BG85" i="1"/>
  <c r="X57" i="1"/>
  <c r="BG90" i="1"/>
  <c r="Y50" i="1"/>
  <c r="BH83" i="1"/>
  <c r="X56" i="1"/>
  <c r="BG89" i="1"/>
  <c r="Y44" i="1"/>
  <c r="BH77" i="1"/>
  <c r="Y47" i="1"/>
  <c r="BH80" i="1"/>
  <c r="AB77" i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X51" i="1"/>
  <c r="BG84" i="1"/>
  <c r="X46" i="1"/>
  <c r="BG79" i="1"/>
  <c r="BG102" i="1"/>
  <c r="W45" i="1"/>
  <c r="BF78" i="1"/>
  <c r="X58" i="1"/>
  <c r="BG91" i="1"/>
  <c r="Y61" i="1"/>
  <c r="BH94" i="1"/>
  <c r="X64" i="1"/>
  <c r="BG97" i="1"/>
  <c r="DX96" i="1" l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W67" i="1"/>
  <c r="BF100" i="1"/>
  <c r="W56" i="1"/>
  <c r="BF89" i="1"/>
  <c r="W54" i="1"/>
  <c r="BF87" i="1"/>
  <c r="V45" i="1"/>
  <c r="BE78" i="1"/>
  <c r="X50" i="1"/>
  <c r="BG83" i="1"/>
  <c r="W48" i="1"/>
  <c r="BF81" i="1"/>
  <c r="W62" i="1"/>
  <c r="BF95" i="1"/>
  <c r="W64" i="1"/>
  <c r="BF97" i="1"/>
  <c r="BF102" i="1"/>
  <c r="X59" i="1"/>
  <c r="BG92" i="1"/>
  <c r="W53" i="1"/>
  <c r="BF86" i="1"/>
  <c r="AA77" i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X47" i="1"/>
  <c r="BG80" i="1"/>
  <c r="W57" i="1"/>
  <c r="BF90" i="1"/>
  <c r="X63" i="1"/>
  <c r="BG96" i="1"/>
  <c r="DW102" i="1"/>
  <c r="DW101" i="1" s="1"/>
  <c r="DW100" i="1" s="1"/>
  <c r="DW99" i="1" s="1"/>
  <c r="DW98" i="1" s="1"/>
  <c r="DW97" i="1" s="1"/>
  <c r="W65" i="1"/>
  <c r="BF98" i="1"/>
  <c r="X49" i="1"/>
  <c r="BG82" i="1"/>
  <c r="W51" i="1"/>
  <c r="BF84" i="1"/>
  <c r="W68" i="1"/>
  <c r="BF101" i="1"/>
  <c r="X61" i="1"/>
  <c r="BG94" i="1"/>
  <c r="W46" i="1"/>
  <c r="BF79" i="1"/>
  <c r="X44" i="1"/>
  <c r="BG77" i="1"/>
  <c r="W52" i="1"/>
  <c r="BF85" i="1"/>
  <c r="W60" i="1"/>
  <c r="BF93" i="1"/>
  <c r="W55" i="1"/>
  <c r="BF88" i="1"/>
  <c r="W58" i="1"/>
  <c r="BF91" i="1"/>
  <c r="W66" i="1"/>
  <c r="BF99" i="1"/>
  <c r="Z77" i="1" l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DV102" i="1"/>
  <c r="DV101" i="1" s="1"/>
  <c r="DV100" i="1" s="1"/>
  <c r="DV99" i="1" s="1"/>
  <c r="DV98" i="1" s="1"/>
  <c r="DV97" i="1" s="1"/>
  <c r="W63" i="1"/>
  <c r="BF96" i="1"/>
  <c r="V53" i="1"/>
  <c r="BE86" i="1"/>
  <c r="V62" i="1"/>
  <c r="BE95" i="1"/>
  <c r="V54" i="1"/>
  <c r="BE87" i="1"/>
  <c r="W44" i="1"/>
  <c r="BF77" i="1"/>
  <c r="V66" i="1"/>
  <c r="BE99" i="1"/>
  <c r="V46" i="1"/>
  <c r="BE79" i="1"/>
  <c r="W49" i="1"/>
  <c r="BF82" i="1"/>
  <c r="V51" i="1"/>
  <c r="BE84" i="1"/>
  <c r="V57" i="1"/>
  <c r="BE90" i="1"/>
  <c r="W59" i="1"/>
  <c r="BF92" i="1"/>
  <c r="V48" i="1"/>
  <c r="BE81" i="1"/>
  <c r="V56" i="1"/>
  <c r="BE89" i="1"/>
  <c r="V60" i="1"/>
  <c r="BE93" i="1"/>
  <c r="W61" i="1"/>
  <c r="BF94" i="1"/>
  <c r="V65" i="1"/>
  <c r="BE98" i="1"/>
  <c r="V55" i="1"/>
  <c r="BE88" i="1"/>
  <c r="DW96" i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W47" i="1"/>
  <c r="BF80" i="1"/>
  <c r="BE102" i="1"/>
  <c r="W50" i="1"/>
  <c r="BF83" i="1"/>
  <c r="V67" i="1"/>
  <c r="BE100" i="1"/>
  <c r="V58" i="1"/>
  <c r="BE91" i="1"/>
  <c r="V52" i="1"/>
  <c r="BE85" i="1"/>
  <c r="V68" i="1"/>
  <c r="BE101" i="1"/>
  <c r="V64" i="1"/>
  <c r="BE97" i="1"/>
  <c r="U45" i="1"/>
  <c r="BD78" i="1"/>
  <c r="DV96" i="1" l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U102" i="1"/>
  <c r="DU101" i="1" s="1"/>
  <c r="DU100" i="1" s="1"/>
  <c r="DU99" i="1" s="1"/>
  <c r="DU98" i="1" s="1"/>
  <c r="DU97" i="1" s="1"/>
  <c r="U54" i="1"/>
  <c r="BD87" i="1"/>
  <c r="U62" i="1"/>
  <c r="BD95" i="1"/>
  <c r="U68" i="1"/>
  <c r="BD101" i="1"/>
  <c r="V50" i="1"/>
  <c r="BE83" i="1"/>
  <c r="V59" i="1"/>
  <c r="BE92" i="1"/>
  <c r="U65" i="1"/>
  <c r="BD98" i="1"/>
  <c r="U56" i="1"/>
  <c r="BD89" i="1"/>
  <c r="U51" i="1"/>
  <c r="BD84" i="1"/>
  <c r="U66" i="1"/>
  <c r="BD99" i="1"/>
  <c r="U53" i="1"/>
  <c r="BD86" i="1"/>
  <c r="Y77" i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U67" i="1"/>
  <c r="BD100" i="1"/>
  <c r="U55" i="1"/>
  <c r="BD88" i="1"/>
  <c r="T45" i="1"/>
  <c r="BC78" i="1"/>
  <c r="U52" i="1"/>
  <c r="BD85" i="1"/>
  <c r="BD102" i="1"/>
  <c r="U46" i="1"/>
  <c r="BD79" i="1"/>
  <c r="U57" i="1"/>
  <c r="BD90" i="1"/>
  <c r="V61" i="1"/>
  <c r="BE94" i="1"/>
  <c r="U48" i="1"/>
  <c r="BD81" i="1"/>
  <c r="V49" i="1"/>
  <c r="BE82" i="1"/>
  <c r="V44" i="1"/>
  <c r="BE77" i="1"/>
  <c r="V63" i="1"/>
  <c r="BE96" i="1"/>
  <c r="U60" i="1"/>
  <c r="BD93" i="1"/>
  <c r="U64" i="1"/>
  <c r="BD97" i="1"/>
  <c r="U58" i="1"/>
  <c r="BD91" i="1"/>
  <c r="V47" i="1"/>
  <c r="BE80" i="1"/>
  <c r="X77" i="1" l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DT102" i="1"/>
  <c r="DT101" i="1" s="1"/>
  <c r="DT100" i="1" s="1"/>
  <c r="DT99" i="1" s="1"/>
  <c r="DT98" i="1" s="1"/>
  <c r="DT97" i="1" s="1"/>
  <c r="U63" i="1"/>
  <c r="BD96" i="1"/>
  <c r="T56" i="1"/>
  <c r="BC89" i="1"/>
  <c r="U59" i="1"/>
  <c r="BD92" i="1"/>
  <c r="T48" i="1"/>
  <c r="BC81" i="1"/>
  <c r="T67" i="1"/>
  <c r="BC100" i="1"/>
  <c r="U47" i="1"/>
  <c r="BD80" i="1"/>
  <c r="T52" i="1"/>
  <c r="BC85" i="1"/>
  <c r="T60" i="1"/>
  <c r="BC93" i="1"/>
  <c r="U61" i="1"/>
  <c r="BD94" i="1"/>
  <c r="T58" i="1"/>
  <c r="BC91" i="1"/>
  <c r="U44" i="1"/>
  <c r="BD77" i="1"/>
  <c r="T57" i="1"/>
  <c r="BC90" i="1"/>
  <c r="S45" i="1"/>
  <c r="BB78" i="1"/>
  <c r="T53" i="1"/>
  <c r="BC86" i="1"/>
  <c r="T65" i="1"/>
  <c r="BC98" i="1"/>
  <c r="U50" i="1"/>
  <c r="BD83" i="1"/>
  <c r="T54" i="1"/>
  <c r="BC87" i="1"/>
  <c r="BC102" i="1"/>
  <c r="DU96" i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T62" i="1"/>
  <c r="BC95" i="1"/>
  <c r="T64" i="1"/>
  <c r="BC97" i="1"/>
  <c r="T46" i="1"/>
  <c r="BC79" i="1"/>
  <c r="T51" i="1"/>
  <c r="BC84" i="1"/>
  <c r="U49" i="1"/>
  <c r="BD82" i="1"/>
  <c r="T55" i="1"/>
  <c r="BC88" i="1"/>
  <c r="T66" i="1"/>
  <c r="BC99" i="1"/>
  <c r="T68" i="1"/>
  <c r="BC101" i="1"/>
  <c r="DT96" i="1" l="1"/>
  <c r="DT95" i="1" s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BB102" i="1"/>
  <c r="S55" i="1"/>
  <c r="BB88" i="1"/>
  <c r="S46" i="1"/>
  <c r="BB79" i="1"/>
  <c r="S54" i="1"/>
  <c r="BB87" i="1"/>
  <c r="R45" i="1"/>
  <c r="BA78" i="1"/>
  <c r="T61" i="1"/>
  <c r="BC94" i="1"/>
  <c r="T47" i="1"/>
  <c r="BC80" i="1"/>
  <c r="T59" i="1"/>
  <c r="BC92" i="1"/>
  <c r="S52" i="1"/>
  <c r="BB85" i="1"/>
  <c r="T49" i="1"/>
  <c r="BC82" i="1"/>
  <c r="S64" i="1"/>
  <c r="BB97" i="1"/>
  <c r="T50" i="1"/>
  <c r="BC83" i="1"/>
  <c r="S57" i="1"/>
  <c r="BB90" i="1"/>
  <c r="S67" i="1"/>
  <c r="BB100" i="1"/>
  <c r="S56" i="1"/>
  <c r="BB89" i="1"/>
  <c r="S58" i="1"/>
  <c r="BB91" i="1"/>
  <c r="S68" i="1"/>
  <c r="BB101" i="1"/>
  <c r="S51" i="1"/>
  <c r="BB84" i="1"/>
  <c r="S62" i="1"/>
  <c r="BB95" i="1"/>
  <c r="W77" i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S65" i="1"/>
  <c r="BB98" i="1"/>
  <c r="T44" i="1"/>
  <c r="BC77" i="1"/>
  <c r="S60" i="1"/>
  <c r="BB93" i="1"/>
  <c r="S48" i="1"/>
  <c r="BB81" i="1"/>
  <c r="T63" i="1"/>
  <c r="BC96" i="1"/>
  <c r="S53" i="1"/>
  <c r="BB86" i="1"/>
  <c r="S66" i="1"/>
  <c r="BB99" i="1"/>
  <c r="DS102" i="1"/>
  <c r="DS101" i="1" s="1"/>
  <c r="DS100" i="1" s="1"/>
  <c r="DS99" i="1" s="1"/>
  <c r="DS98" i="1" s="1"/>
  <c r="DS97" i="1" s="1"/>
  <c r="DS96" i="1" l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V77" i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S63" i="1"/>
  <c r="BB96" i="1"/>
  <c r="R65" i="1"/>
  <c r="BA98" i="1"/>
  <c r="R68" i="1"/>
  <c r="BA101" i="1"/>
  <c r="R64" i="1"/>
  <c r="BA97" i="1"/>
  <c r="S47" i="1"/>
  <c r="BB80" i="1"/>
  <c r="R46" i="1"/>
  <c r="BA79" i="1"/>
  <c r="R48" i="1"/>
  <c r="BA81" i="1"/>
  <c r="R58" i="1"/>
  <c r="BA91" i="1"/>
  <c r="R57" i="1"/>
  <c r="BA90" i="1"/>
  <c r="S49" i="1"/>
  <c r="BB82" i="1"/>
  <c r="S61" i="1"/>
  <c r="BB94" i="1"/>
  <c r="R55" i="1"/>
  <c r="BA88" i="1"/>
  <c r="R66" i="1"/>
  <c r="BA99" i="1"/>
  <c r="R60" i="1"/>
  <c r="BA93" i="1"/>
  <c r="R62" i="1"/>
  <c r="BA95" i="1"/>
  <c r="R56" i="1"/>
  <c r="BA89" i="1"/>
  <c r="S50" i="1"/>
  <c r="BB83" i="1"/>
  <c r="R52" i="1"/>
  <c r="BA85" i="1"/>
  <c r="Q45" i="1"/>
  <c r="AZ78" i="1"/>
  <c r="BA102" i="1"/>
  <c r="DR102" i="1"/>
  <c r="DR101" i="1" s="1"/>
  <c r="DR100" i="1" s="1"/>
  <c r="DR99" i="1" s="1"/>
  <c r="DR98" i="1" s="1"/>
  <c r="DR97" i="1" s="1"/>
  <c r="R53" i="1"/>
  <c r="BA86" i="1"/>
  <c r="S44" i="1"/>
  <c r="BB77" i="1"/>
  <c r="R51" i="1"/>
  <c r="BA84" i="1"/>
  <c r="R67" i="1"/>
  <c r="BA100" i="1"/>
  <c r="S59" i="1"/>
  <c r="BB92" i="1"/>
  <c r="R54" i="1"/>
  <c r="BA87" i="1"/>
  <c r="DR96" i="1" l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U77" i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R50" i="1"/>
  <c r="BA83" i="1"/>
  <c r="Q66" i="1"/>
  <c r="AZ99" i="1"/>
  <c r="Q57" i="1"/>
  <c r="AZ90" i="1"/>
  <c r="Q46" i="1"/>
  <c r="AZ79" i="1"/>
  <c r="Q68" i="1"/>
  <c r="AZ101" i="1"/>
  <c r="Q67" i="1"/>
  <c r="AZ100" i="1"/>
  <c r="Q53" i="1"/>
  <c r="AZ86" i="1"/>
  <c r="AZ102" i="1"/>
  <c r="Q56" i="1"/>
  <c r="AZ89" i="1"/>
  <c r="Q55" i="1"/>
  <c r="AZ88" i="1"/>
  <c r="Q58" i="1"/>
  <c r="AZ91" i="1"/>
  <c r="R47" i="1"/>
  <c r="BA80" i="1"/>
  <c r="Q65" i="1"/>
  <c r="AZ98" i="1"/>
  <c r="Q54" i="1"/>
  <c r="AZ87" i="1"/>
  <c r="Q51" i="1"/>
  <c r="AZ84" i="1"/>
  <c r="P45" i="1"/>
  <c r="AY78" i="1"/>
  <c r="Q62" i="1"/>
  <c r="AZ95" i="1"/>
  <c r="R61" i="1"/>
  <c r="BA94" i="1"/>
  <c r="Q48" i="1"/>
  <c r="AZ81" i="1"/>
  <c r="Q64" i="1"/>
  <c r="AZ97" i="1"/>
  <c r="R63" i="1"/>
  <c r="BA96" i="1"/>
  <c r="R59" i="1"/>
  <c r="BA92" i="1"/>
  <c r="R44" i="1"/>
  <c r="BA77" i="1"/>
  <c r="DQ102" i="1"/>
  <c r="DQ101" i="1" s="1"/>
  <c r="DQ100" i="1" s="1"/>
  <c r="DQ99" i="1" s="1"/>
  <c r="DQ98" i="1" s="1"/>
  <c r="DQ97" i="1" s="1"/>
  <c r="Q52" i="1"/>
  <c r="AZ85" i="1"/>
  <c r="Q60" i="1"/>
  <c r="AZ93" i="1"/>
  <c r="R49" i="1"/>
  <c r="BA82" i="1"/>
  <c r="DQ96" i="1" l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Q59" i="1"/>
  <c r="AZ92" i="1"/>
  <c r="Q61" i="1"/>
  <c r="AZ94" i="1"/>
  <c r="P51" i="1"/>
  <c r="AY84" i="1"/>
  <c r="P58" i="1"/>
  <c r="AY91" i="1"/>
  <c r="P53" i="1"/>
  <c r="AY86" i="1"/>
  <c r="P57" i="1"/>
  <c r="AY90" i="1"/>
  <c r="P60" i="1"/>
  <c r="AY93" i="1"/>
  <c r="Q63" i="1"/>
  <c r="AZ96" i="1"/>
  <c r="P62" i="1"/>
  <c r="AY95" i="1"/>
  <c r="P54" i="1"/>
  <c r="AY87" i="1"/>
  <c r="P55" i="1"/>
  <c r="AY88" i="1"/>
  <c r="P67" i="1"/>
  <c r="AY100" i="1"/>
  <c r="P66" i="1"/>
  <c r="AY99" i="1"/>
  <c r="Q49" i="1"/>
  <c r="AZ82" i="1"/>
  <c r="P52" i="1"/>
  <c r="AY85" i="1"/>
  <c r="P64" i="1"/>
  <c r="AY97" i="1"/>
  <c r="O45" i="1"/>
  <c r="AX78" i="1"/>
  <c r="P65" i="1"/>
  <c r="AY98" i="1"/>
  <c r="P56" i="1"/>
  <c r="AY89" i="1"/>
  <c r="P68" i="1"/>
  <c r="AY101" i="1"/>
  <c r="Q50" i="1"/>
  <c r="AZ83" i="1"/>
  <c r="DP102" i="1"/>
  <c r="DP101" i="1" s="1"/>
  <c r="DP100" i="1" s="1"/>
  <c r="DP99" i="1" s="1"/>
  <c r="DP98" i="1" s="1"/>
  <c r="DP97" i="1" s="1"/>
  <c r="Q44" i="1"/>
  <c r="AZ77" i="1"/>
  <c r="P48" i="1"/>
  <c r="AY81" i="1"/>
  <c r="Q47" i="1"/>
  <c r="AZ80" i="1"/>
  <c r="AY102" i="1"/>
  <c r="P46" i="1"/>
  <c r="AY79" i="1"/>
  <c r="DO102" i="1" l="1"/>
  <c r="DO101" i="1" s="1"/>
  <c r="DO100" i="1" s="1"/>
  <c r="DO99" i="1" s="1"/>
  <c r="DO98" i="1" s="1"/>
  <c r="DO97" i="1" s="1"/>
  <c r="DP96" i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O56" i="1"/>
  <c r="AX89" i="1"/>
  <c r="P47" i="1"/>
  <c r="AY80" i="1"/>
  <c r="O52" i="1"/>
  <c r="AX85" i="1"/>
  <c r="O67" i="1"/>
  <c r="AX100" i="1"/>
  <c r="P63" i="1"/>
  <c r="AY96" i="1"/>
  <c r="O58" i="1"/>
  <c r="AX91" i="1"/>
  <c r="O65" i="1"/>
  <c r="AX98" i="1"/>
  <c r="O55" i="1"/>
  <c r="AX88" i="1"/>
  <c r="O60" i="1"/>
  <c r="AX93" i="1"/>
  <c r="O51" i="1"/>
  <c r="AX84" i="1"/>
  <c r="AX102" i="1"/>
  <c r="P50" i="1"/>
  <c r="AY83" i="1"/>
  <c r="N45" i="1"/>
  <c r="AW78" i="1"/>
  <c r="O46" i="1"/>
  <c r="AX79" i="1"/>
  <c r="O48" i="1"/>
  <c r="AX81" i="1"/>
  <c r="P49" i="1"/>
  <c r="AY82" i="1"/>
  <c r="O54" i="1"/>
  <c r="AX87" i="1"/>
  <c r="O57" i="1"/>
  <c r="AX90" i="1"/>
  <c r="P61" i="1"/>
  <c r="AY94" i="1"/>
  <c r="P44" i="1"/>
  <c r="AY77" i="1"/>
  <c r="O68" i="1"/>
  <c r="AX101" i="1"/>
  <c r="O64" i="1"/>
  <c r="AX97" i="1"/>
  <c r="S77" i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O66" i="1"/>
  <c r="AX99" i="1"/>
  <c r="O62" i="1"/>
  <c r="AX95" i="1"/>
  <c r="O53" i="1"/>
  <c r="AX86" i="1"/>
  <c r="P59" i="1"/>
  <c r="AY92" i="1"/>
  <c r="DO96" i="1" l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O44" i="1"/>
  <c r="AX77" i="1"/>
  <c r="N67" i="1"/>
  <c r="AW100" i="1"/>
  <c r="O61" i="1"/>
  <c r="AX94" i="1"/>
  <c r="N48" i="1"/>
  <c r="AW81" i="1"/>
  <c r="O50" i="1"/>
  <c r="AX83" i="1"/>
  <c r="N55" i="1"/>
  <c r="AW88" i="1"/>
  <c r="N60" i="1"/>
  <c r="AW93" i="1"/>
  <c r="N52" i="1"/>
  <c r="AW85" i="1"/>
  <c r="O49" i="1"/>
  <c r="AX82" i="1"/>
  <c r="O59" i="1"/>
  <c r="AX92" i="1"/>
  <c r="N53" i="1"/>
  <c r="AW86" i="1"/>
  <c r="N64" i="1"/>
  <c r="AW97" i="1"/>
  <c r="N57" i="1"/>
  <c r="AW90" i="1"/>
  <c r="N46" i="1"/>
  <c r="AW79" i="1"/>
  <c r="AW102" i="1"/>
  <c r="N66" i="1"/>
  <c r="AW99" i="1"/>
  <c r="N65" i="1"/>
  <c r="AW98" i="1"/>
  <c r="DN102" i="1"/>
  <c r="DN101" i="1" s="1"/>
  <c r="DN100" i="1" s="1"/>
  <c r="DN99" i="1" s="1"/>
  <c r="DN98" i="1" s="1"/>
  <c r="DN97" i="1" s="1"/>
  <c r="N58" i="1"/>
  <c r="AW91" i="1"/>
  <c r="O47" i="1"/>
  <c r="AX80" i="1"/>
  <c r="N51" i="1"/>
  <c r="AW84" i="1"/>
  <c r="M45" i="1"/>
  <c r="AV78" i="1"/>
  <c r="N62" i="1"/>
  <c r="AW95" i="1"/>
  <c r="N68" i="1"/>
  <c r="AW101" i="1"/>
  <c r="N54" i="1"/>
  <c r="AW87" i="1"/>
  <c r="O63" i="1"/>
  <c r="AX96" i="1"/>
  <c r="N56" i="1"/>
  <c r="AW89" i="1"/>
  <c r="DM102" i="1" l="1"/>
  <c r="DM101" i="1" s="1"/>
  <c r="DM100" i="1" s="1"/>
  <c r="DM99" i="1" s="1"/>
  <c r="DM98" i="1" s="1"/>
  <c r="DM97" i="1" s="1"/>
  <c r="DN96" i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M60" i="1"/>
  <c r="AV93" i="1"/>
  <c r="M48" i="1"/>
  <c r="AV81" i="1"/>
  <c r="M65" i="1"/>
  <c r="AV98" i="1"/>
  <c r="M46" i="1"/>
  <c r="AV79" i="1"/>
  <c r="N59" i="1"/>
  <c r="AW92" i="1"/>
  <c r="M58" i="1"/>
  <c r="AV91" i="1"/>
  <c r="AV102" i="1"/>
  <c r="M51" i="1"/>
  <c r="AV84" i="1"/>
  <c r="N61" i="1"/>
  <c r="AW94" i="1"/>
  <c r="M54" i="1"/>
  <c r="AV87" i="1"/>
  <c r="M66" i="1"/>
  <c r="AV99" i="1"/>
  <c r="M57" i="1"/>
  <c r="AV90" i="1"/>
  <c r="N49" i="1"/>
  <c r="AW82" i="1"/>
  <c r="L45" i="1"/>
  <c r="AU78" i="1"/>
  <c r="M56" i="1"/>
  <c r="AV89" i="1"/>
  <c r="M62" i="1"/>
  <c r="AV95" i="1"/>
  <c r="N47" i="1"/>
  <c r="AW80" i="1"/>
  <c r="M55" i="1"/>
  <c r="AV88" i="1"/>
  <c r="M67" i="1"/>
  <c r="AV100" i="1"/>
  <c r="M53" i="1"/>
  <c r="AV86" i="1"/>
  <c r="M68" i="1"/>
  <c r="AV101" i="1"/>
  <c r="M64" i="1"/>
  <c r="AV97" i="1"/>
  <c r="M52" i="1"/>
  <c r="AV85" i="1"/>
  <c r="N63" i="1"/>
  <c r="AW96" i="1"/>
  <c r="Q77" i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N50" i="1"/>
  <c r="AW83" i="1"/>
  <c r="N44" i="1"/>
  <c r="AW77" i="1"/>
  <c r="P77" i="1" l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DM96" i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M47" i="1"/>
  <c r="AV80" i="1"/>
  <c r="M44" i="1"/>
  <c r="AV77" i="1"/>
  <c r="L52" i="1"/>
  <c r="AU85" i="1"/>
  <c r="L53" i="1"/>
  <c r="AU86" i="1"/>
  <c r="L62" i="1"/>
  <c r="AU95" i="1"/>
  <c r="L57" i="1"/>
  <c r="AU90" i="1"/>
  <c r="M61" i="1"/>
  <c r="AV94" i="1"/>
  <c r="L58" i="1"/>
  <c r="AU91" i="1"/>
  <c r="L48" i="1"/>
  <c r="AU81" i="1"/>
  <c r="M49" i="1"/>
  <c r="AV82" i="1"/>
  <c r="M63" i="1"/>
  <c r="AV96" i="1"/>
  <c r="AU102" i="1"/>
  <c r="M50" i="1"/>
  <c r="AV83" i="1"/>
  <c r="L64" i="1"/>
  <c r="AU97" i="1"/>
  <c r="L67" i="1"/>
  <c r="AU100" i="1"/>
  <c r="L56" i="1"/>
  <c r="AU89" i="1"/>
  <c r="L66" i="1"/>
  <c r="AU99" i="1"/>
  <c r="M59" i="1"/>
  <c r="AV92" i="1"/>
  <c r="L60" i="1"/>
  <c r="AU93" i="1"/>
  <c r="L68" i="1"/>
  <c r="AU101" i="1"/>
  <c r="DL102" i="1"/>
  <c r="DL101" i="1" s="1"/>
  <c r="DL100" i="1" s="1"/>
  <c r="DL99" i="1" s="1"/>
  <c r="DL98" i="1" s="1"/>
  <c r="DL97" i="1" s="1"/>
  <c r="L55" i="1"/>
  <c r="AU88" i="1"/>
  <c r="K45" i="1"/>
  <c r="AT78" i="1"/>
  <c r="L54" i="1"/>
  <c r="AU87" i="1"/>
  <c r="L51" i="1"/>
  <c r="AU84" i="1"/>
  <c r="L46" i="1"/>
  <c r="AU79" i="1"/>
  <c r="L65" i="1"/>
  <c r="AU98" i="1"/>
  <c r="DL96" i="1" l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O77" i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L59" i="1"/>
  <c r="AU92" i="1"/>
  <c r="K67" i="1"/>
  <c r="AT100" i="1"/>
  <c r="L63" i="1"/>
  <c r="AU96" i="1"/>
  <c r="L61" i="1"/>
  <c r="AU94" i="1"/>
  <c r="K52" i="1"/>
  <c r="AT85" i="1"/>
  <c r="K51" i="1"/>
  <c r="AT84" i="1"/>
  <c r="K64" i="1"/>
  <c r="AT97" i="1"/>
  <c r="L49" i="1"/>
  <c r="AU82" i="1"/>
  <c r="K57" i="1"/>
  <c r="AT90" i="1"/>
  <c r="L44" i="1"/>
  <c r="AU77" i="1"/>
  <c r="K46" i="1"/>
  <c r="AT79" i="1"/>
  <c r="K65" i="1"/>
  <c r="AT98" i="1"/>
  <c r="K54" i="1"/>
  <c r="AT87" i="1"/>
  <c r="DK102" i="1"/>
  <c r="DK101" i="1" s="1"/>
  <c r="DK100" i="1" s="1"/>
  <c r="DK99" i="1" s="1"/>
  <c r="DK98" i="1" s="1"/>
  <c r="DK97" i="1" s="1"/>
  <c r="K68" i="1"/>
  <c r="AT101" i="1"/>
  <c r="K66" i="1"/>
  <c r="AT99" i="1"/>
  <c r="L50" i="1"/>
  <c r="AU83" i="1"/>
  <c r="K48" i="1"/>
  <c r="AT81" i="1"/>
  <c r="K62" i="1"/>
  <c r="AT95" i="1"/>
  <c r="L47" i="1"/>
  <c r="AU80" i="1"/>
  <c r="K55" i="1"/>
  <c r="AT88" i="1"/>
  <c r="J45" i="1"/>
  <c r="AS78" i="1"/>
  <c r="K60" i="1"/>
  <c r="AT93" i="1"/>
  <c r="K56" i="1"/>
  <c r="AT89" i="1"/>
  <c r="AT102" i="1"/>
  <c r="K58" i="1"/>
  <c r="AT91" i="1"/>
  <c r="K53" i="1"/>
  <c r="AT86" i="1"/>
  <c r="N77" i="1" l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DJ102" i="1"/>
  <c r="DJ101" i="1" s="1"/>
  <c r="DJ100" i="1" s="1"/>
  <c r="DJ99" i="1" s="1"/>
  <c r="DJ98" i="1" s="1"/>
  <c r="DJ97" i="1" s="1"/>
  <c r="DK96" i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K61" i="1"/>
  <c r="AT94" i="1"/>
  <c r="J48" i="1"/>
  <c r="AS81" i="1"/>
  <c r="J57" i="1"/>
  <c r="AS90" i="1"/>
  <c r="J56" i="1"/>
  <c r="AS89" i="1"/>
  <c r="J55" i="1"/>
  <c r="AS88" i="1"/>
  <c r="K50" i="1"/>
  <c r="AT83" i="1"/>
  <c r="J65" i="1"/>
  <c r="AS98" i="1"/>
  <c r="K49" i="1"/>
  <c r="AT82" i="1"/>
  <c r="K63" i="1"/>
  <c r="AT96" i="1"/>
  <c r="J54" i="1"/>
  <c r="AS87" i="1"/>
  <c r="J53" i="1"/>
  <c r="AS86" i="1"/>
  <c r="J60" i="1"/>
  <c r="AS93" i="1"/>
  <c r="K47" i="1"/>
  <c r="AT80" i="1"/>
  <c r="J66" i="1"/>
  <c r="AS99" i="1"/>
  <c r="J46" i="1"/>
  <c r="AS79" i="1"/>
  <c r="J64" i="1"/>
  <c r="AS97" i="1"/>
  <c r="J51" i="1"/>
  <c r="AS84" i="1"/>
  <c r="J67" i="1"/>
  <c r="AS100" i="1"/>
  <c r="AS102" i="1"/>
  <c r="J58" i="1"/>
  <c r="AS91" i="1"/>
  <c r="I45" i="1"/>
  <c r="AQ78" i="1" s="1"/>
  <c r="AR78" i="1"/>
  <c r="J62" i="1"/>
  <c r="AS95" i="1"/>
  <c r="J68" i="1"/>
  <c r="AS101" i="1"/>
  <c r="K44" i="1"/>
  <c r="AT77" i="1"/>
  <c r="J52" i="1"/>
  <c r="AS85" i="1"/>
  <c r="K59" i="1"/>
  <c r="AT92" i="1"/>
  <c r="DI102" i="1" l="1"/>
  <c r="DI101" i="1" s="1"/>
  <c r="DI100" i="1" s="1"/>
  <c r="DI99" i="1" s="1"/>
  <c r="DI98" i="1" s="1"/>
  <c r="DI97" i="1" s="1"/>
  <c r="DJ96" i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I62" i="1"/>
  <c r="AQ95" i="1" s="1"/>
  <c r="AR95" i="1"/>
  <c r="I67" i="1"/>
  <c r="AQ100" i="1" s="1"/>
  <c r="AR100" i="1"/>
  <c r="I66" i="1"/>
  <c r="AQ99" i="1" s="1"/>
  <c r="AR99" i="1"/>
  <c r="I54" i="1"/>
  <c r="AQ87" i="1" s="1"/>
  <c r="AR87" i="1"/>
  <c r="J49" i="1"/>
  <c r="AS82" i="1"/>
  <c r="I56" i="1"/>
  <c r="AQ89" i="1" s="1"/>
  <c r="AR89" i="1"/>
  <c r="J44" i="1"/>
  <c r="AS77" i="1"/>
  <c r="I51" i="1"/>
  <c r="AQ84" i="1" s="1"/>
  <c r="AR84" i="1"/>
  <c r="J47" i="1"/>
  <c r="AS80" i="1"/>
  <c r="I65" i="1"/>
  <c r="AQ98" i="1" s="1"/>
  <c r="AR98" i="1"/>
  <c r="I57" i="1"/>
  <c r="AQ90" i="1" s="1"/>
  <c r="AR90" i="1"/>
  <c r="M77" i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I58" i="1"/>
  <c r="AQ91" i="1" s="1"/>
  <c r="AR91" i="1"/>
  <c r="I64" i="1"/>
  <c r="AQ97" i="1" s="1"/>
  <c r="AR97" i="1"/>
  <c r="I60" i="1"/>
  <c r="AQ93" i="1" s="1"/>
  <c r="AR93" i="1"/>
  <c r="J63" i="1"/>
  <c r="AS96" i="1"/>
  <c r="J50" i="1"/>
  <c r="AS83" i="1"/>
  <c r="I48" i="1"/>
  <c r="AQ81" i="1" s="1"/>
  <c r="AR81" i="1"/>
  <c r="J59" i="1"/>
  <c r="AS92" i="1"/>
  <c r="I52" i="1"/>
  <c r="AQ85" i="1" s="1"/>
  <c r="AR85" i="1"/>
  <c r="I68" i="1"/>
  <c r="AQ101" i="1" s="1"/>
  <c r="AR101" i="1"/>
  <c r="AQ102" i="1"/>
  <c r="AR102" i="1"/>
  <c r="I46" i="1"/>
  <c r="AQ79" i="1" s="1"/>
  <c r="AR79" i="1"/>
  <c r="I53" i="1"/>
  <c r="AQ86" i="1" s="1"/>
  <c r="AR86" i="1"/>
  <c r="I55" i="1"/>
  <c r="AQ88" i="1" s="1"/>
  <c r="AR88" i="1"/>
  <c r="J61" i="1"/>
  <c r="AS94" i="1"/>
  <c r="DH102" i="1" l="1"/>
  <c r="DH101" i="1" s="1"/>
  <c r="DH100" i="1" s="1"/>
  <c r="DH99" i="1" s="1"/>
  <c r="DH98" i="1" s="1"/>
  <c r="DH97" i="1" s="1"/>
  <c r="DG102" i="1"/>
  <c r="DG101" i="1" s="1"/>
  <c r="DG100" i="1" s="1"/>
  <c r="DG99" i="1" s="1"/>
  <c r="DG98" i="1" s="1"/>
  <c r="DG97" i="1" s="1"/>
  <c r="I50" i="1"/>
  <c r="AQ83" i="1" s="1"/>
  <c r="AR83" i="1"/>
  <c r="DI96" i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I47" i="1"/>
  <c r="AQ80" i="1" s="1"/>
  <c r="AR80" i="1"/>
  <c r="I63" i="1"/>
  <c r="AQ96" i="1" s="1"/>
  <c r="AR96" i="1"/>
  <c r="I49" i="1"/>
  <c r="AQ82" i="1" s="1"/>
  <c r="AR82" i="1"/>
  <c r="I44" i="1"/>
  <c r="AQ77" i="1" s="1"/>
  <c r="AR77" i="1"/>
  <c r="I61" i="1"/>
  <c r="AQ94" i="1" s="1"/>
  <c r="AR94" i="1"/>
  <c r="I59" i="1"/>
  <c r="AQ92" i="1" s="1"/>
  <c r="AR92" i="1"/>
  <c r="DG96" i="1" l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H96" i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K77" i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I77" i="1" l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J77" i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</calcChain>
</file>

<file path=xl/sharedStrings.xml><?xml version="1.0" encoding="utf-8"?>
<sst xmlns="http://schemas.openxmlformats.org/spreadsheetml/2006/main" count="50" uniqueCount="31">
  <si>
    <t>L</t>
  </si>
  <si>
    <t>H</t>
  </si>
  <si>
    <t>dx</t>
  </si>
  <si>
    <t>dy</t>
  </si>
  <si>
    <t>t</t>
  </si>
  <si>
    <t>dt</t>
  </si>
  <si>
    <t>Cp</t>
  </si>
  <si>
    <t>ro</t>
  </si>
  <si>
    <t>lambda</t>
  </si>
  <si>
    <t>T_start</t>
  </si>
  <si>
    <t>T</t>
  </si>
  <si>
    <t>T_end</t>
  </si>
  <si>
    <t>T_i</t>
  </si>
  <si>
    <t>F_i</t>
  </si>
  <si>
    <t>A</t>
  </si>
  <si>
    <t>alpha_i</t>
  </si>
  <si>
    <t>B</t>
  </si>
  <si>
    <t>C</t>
  </si>
  <si>
    <t>beta_i</t>
  </si>
  <si>
    <t>T(n+1)</t>
  </si>
  <si>
    <t>L/H</t>
  </si>
  <si>
    <t>X</t>
  </si>
  <si>
    <t>Y</t>
  </si>
  <si>
    <t>ГУ</t>
  </si>
  <si>
    <t>Физика</t>
  </si>
  <si>
    <t>Исходныпе</t>
  </si>
  <si>
    <t>n+0,5</t>
  </si>
  <si>
    <t>Fi</t>
  </si>
  <si>
    <t>alphai</t>
  </si>
  <si>
    <t>betai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</si>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</sst>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37</xdr:row>
          <xdr:rowOff>38100</xdr:rowOff>
        </xdr:from>
        <xdr:to>
          <xdr:col>2</xdr:col>
          <xdr:colOff>259080</xdr:colOff>
          <xdr:row>39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297180</xdr:colOff>
          <xdr:row>25</xdr:row>
          <xdr:rowOff>38100</xdr:rowOff>
        </xdr:from>
        <xdr:to>
          <xdr:col>5</xdr:col>
          <xdr:colOff>259080</xdr:colOff>
          <xdr:row>27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EF107"/>
  <sheetViews>
    <sheetView tabSelected="1" zoomScale="55" zoomScaleNormal="55" workbookViewId="0">
      <selection activeCell="AK9" sqref="AK9"/>
    </sheetView>
  </sheetViews>
  <sheetFormatPr defaultColWidth="9.109375" defaultRowHeight="14.4" x14ac:dyDescent="0.3"/>
  <cols>
    <col min="1" max="6" width="9.109375" style="3"/>
    <col min="7" max="7" width="12.109375" style="3" bestFit="1" customWidth="1"/>
    <col min="8" max="41" width="9.109375" style="3"/>
    <col min="42" max="42" width="11.5546875" style="3" bestFit="1" customWidth="1"/>
    <col min="43" max="16384" width="9.109375" style="3"/>
  </cols>
  <sheetData>
    <row r="2" spans="1:38" x14ac:dyDescent="0.3">
      <c r="A2" s="14" t="s">
        <v>25</v>
      </c>
      <c r="B2" s="2" t="s">
        <v>0</v>
      </c>
      <c r="C2" s="2">
        <v>0.18</v>
      </c>
    </row>
    <row r="3" spans="1:38" x14ac:dyDescent="0.3">
      <c r="A3" s="14"/>
      <c r="B3" s="2" t="s">
        <v>1</v>
      </c>
      <c r="C3" s="2">
        <v>0.18</v>
      </c>
    </row>
    <row r="4" spans="1:38" x14ac:dyDescent="0.3">
      <c r="A4" s="14"/>
      <c r="B4" s="2" t="s">
        <v>2</v>
      </c>
      <c r="C4" s="2">
        <f>C2/26</f>
        <v>6.9230769230769224E-3</v>
      </c>
    </row>
    <row r="5" spans="1:38" x14ac:dyDescent="0.3">
      <c r="A5" s="14"/>
      <c r="B5" s="2" t="s">
        <v>3</v>
      </c>
      <c r="C5" s="2">
        <f>C3/26</f>
        <v>6.9230769230769224E-3</v>
      </c>
      <c r="D5" s="3">
        <v>150</v>
      </c>
    </row>
    <row r="6" spans="1:38" x14ac:dyDescent="0.3">
      <c r="A6" s="14"/>
      <c r="B6" s="2" t="s">
        <v>5</v>
      </c>
      <c r="C6" s="2">
        <v>1</v>
      </c>
    </row>
    <row r="7" spans="1:38" x14ac:dyDescent="0.3">
      <c r="A7" s="14"/>
      <c r="B7" s="2" t="s">
        <v>4</v>
      </c>
      <c r="C7" s="2">
        <v>150</v>
      </c>
    </row>
    <row r="9" spans="1:38" x14ac:dyDescent="0.3">
      <c r="A9" s="15" t="s">
        <v>24</v>
      </c>
      <c r="B9" s="4" t="s">
        <v>6</v>
      </c>
      <c r="C9" s="4">
        <v>460</v>
      </c>
      <c r="F9" s="8"/>
      <c r="G9" s="8"/>
      <c r="H9" s="9">
        <v>1</v>
      </c>
      <c r="I9" s="8">
        <v>2</v>
      </c>
      <c r="J9" s="8">
        <v>3</v>
      </c>
      <c r="K9" s="8">
        <v>4</v>
      </c>
      <c r="L9" s="8">
        <v>5</v>
      </c>
      <c r="M9" s="8">
        <v>6</v>
      </c>
      <c r="N9" s="8">
        <v>7</v>
      </c>
      <c r="O9" s="8">
        <v>8</v>
      </c>
      <c r="P9" s="8">
        <v>9</v>
      </c>
      <c r="Q9" s="8">
        <v>10</v>
      </c>
      <c r="R9" s="8">
        <v>11</v>
      </c>
      <c r="S9" s="8">
        <v>12</v>
      </c>
      <c r="T9" s="8">
        <v>13</v>
      </c>
      <c r="U9" s="8">
        <v>14</v>
      </c>
      <c r="V9" s="8">
        <v>15</v>
      </c>
      <c r="W9" s="8">
        <v>16</v>
      </c>
      <c r="X9" s="8">
        <v>17</v>
      </c>
      <c r="Y9" s="8">
        <v>18</v>
      </c>
      <c r="Z9" s="8">
        <v>19</v>
      </c>
      <c r="AA9" s="8">
        <v>20</v>
      </c>
      <c r="AB9" s="8">
        <v>21</v>
      </c>
      <c r="AC9" s="8">
        <v>22</v>
      </c>
      <c r="AD9" s="8">
        <v>23</v>
      </c>
      <c r="AE9" s="8">
        <v>24</v>
      </c>
      <c r="AF9" s="8">
        <v>25</v>
      </c>
      <c r="AG9" s="8">
        <v>26</v>
      </c>
      <c r="AH9" s="8">
        <v>27</v>
      </c>
      <c r="AI9"/>
      <c r="AJ9"/>
      <c r="AK9"/>
      <c r="AL9"/>
    </row>
    <row r="10" spans="1:38" x14ac:dyDescent="0.3">
      <c r="A10" s="15"/>
      <c r="B10" s="4" t="s">
        <v>7</v>
      </c>
      <c r="C10" s="4">
        <v>7800</v>
      </c>
      <c r="F10" s="8"/>
      <c r="G10" s="8" t="s">
        <v>20</v>
      </c>
      <c r="H10" s="9">
        <v>0</v>
      </c>
      <c r="I10" s="8">
        <f t="shared" ref="I10:AH10" si="0">H10+$C$4</f>
        <v>6.9230769230769224E-3</v>
      </c>
      <c r="J10" s="8">
        <f t="shared" si="0"/>
        <v>1.3846153846153845E-2</v>
      </c>
      <c r="K10" s="8">
        <f t="shared" si="0"/>
        <v>2.0769230769230769E-2</v>
      </c>
      <c r="L10" s="8">
        <f t="shared" si="0"/>
        <v>2.769230769230769E-2</v>
      </c>
      <c r="M10" s="8">
        <f t="shared" si="0"/>
        <v>3.461538461538461E-2</v>
      </c>
      <c r="N10" s="8">
        <f t="shared" si="0"/>
        <v>4.1538461538461531E-2</v>
      </c>
      <c r="O10" s="8">
        <f t="shared" si="0"/>
        <v>4.8461538461538452E-2</v>
      </c>
      <c r="P10" s="8">
        <f t="shared" si="0"/>
        <v>5.5384615384615372E-2</v>
      </c>
      <c r="Q10" s="8">
        <f t="shared" si="0"/>
        <v>6.2307692307692293E-2</v>
      </c>
      <c r="R10" s="8">
        <f t="shared" si="0"/>
        <v>6.9230769230769221E-2</v>
      </c>
      <c r="S10" s="8">
        <f t="shared" si="0"/>
        <v>7.6153846153846141E-2</v>
      </c>
      <c r="T10" s="8">
        <f t="shared" si="0"/>
        <v>8.3076923076923062E-2</v>
      </c>
      <c r="U10" s="8">
        <f t="shared" si="0"/>
        <v>8.9999999999999983E-2</v>
      </c>
      <c r="V10" s="8">
        <f t="shared" si="0"/>
        <v>9.6923076923076903E-2</v>
      </c>
      <c r="W10" s="8">
        <f t="shared" si="0"/>
        <v>0.10384615384615382</v>
      </c>
      <c r="X10" s="8">
        <f t="shared" si="0"/>
        <v>0.11076923076923074</v>
      </c>
      <c r="Y10" s="8">
        <f t="shared" si="0"/>
        <v>0.11769230769230767</v>
      </c>
      <c r="Z10" s="8">
        <f t="shared" si="0"/>
        <v>0.12461538461538459</v>
      </c>
      <c r="AA10" s="8">
        <f t="shared" si="0"/>
        <v>0.13153846153846152</v>
      </c>
      <c r="AB10" s="8">
        <f t="shared" si="0"/>
        <v>0.13846153846153844</v>
      </c>
      <c r="AC10" s="8">
        <f t="shared" si="0"/>
        <v>0.14538461538461536</v>
      </c>
      <c r="AD10" s="8">
        <f t="shared" si="0"/>
        <v>0.15230769230769228</v>
      </c>
      <c r="AE10" s="8">
        <f t="shared" si="0"/>
        <v>0.1592307692307692</v>
      </c>
      <c r="AF10" s="8">
        <f t="shared" si="0"/>
        <v>0.16615384615384612</v>
      </c>
      <c r="AG10" s="8">
        <f t="shared" si="0"/>
        <v>0.17307692307692304</v>
      </c>
      <c r="AH10" s="8">
        <f t="shared" si="0"/>
        <v>0.17999999999999997</v>
      </c>
      <c r="AI10"/>
      <c r="AJ10"/>
      <c r="AK10"/>
      <c r="AL10"/>
    </row>
    <row r="11" spans="1:38" x14ac:dyDescent="0.3">
      <c r="A11" s="15"/>
      <c r="B11" s="4" t="s">
        <v>8</v>
      </c>
      <c r="C11" s="4">
        <v>46</v>
      </c>
      <c r="F11" s="8">
        <v>1</v>
      </c>
      <c r="G11" s="8">
        <v>0.1</v>
      </c>
      <c r="H11" s="3">
        <v>0</v>
      </c>
      <c r="I11" s="3">
        <v>100</v>
      </c>
      <c r="J11" s="3">
        <v>100</v>
      </c>
      <c r="K11" s="3">
        <v>100</v>
      </c>
      <c r="L11" s="3">
        <v>100</v>
      </c>
      <c r="M11" s="3">
        <v>100</v>
      </c>
      <c r="N11" s="3">
        <v>100</v>
      </c>
      <c r="O11" s="3">
        <v>100</v>
      </c>
      <c r="P11" s="3">
        <v>100</v>
      </c>
      <c r="Q11" s="3">
        <v>100</v>
      </c>
      <c r="R11" s="3">
        <v>100</v>
      </c>
      <c r="S11" s="3">
        <v>100</v>
      </c>
      <c r="T11" s="3">
        <v>100</v>
      </c>
      <c r="U11" s="3">
        <v>100</v>
      </c>
      <c r="V11" s="3">
        <v>100</v>
      </c>
      <c r="W11" s="3">
        <v>100</v>
      </c>
      <c r="X11" s="3">
        <v>100</v>
      </c>
      <c r="Y11" s="3">
        <v>100</v>
      </c>
      <c r="Z11" s="3">
        <v>100</v>
      </c>
      <c r="AA11" s="3">
        <v>100</v>
      </c>
      <c r="AB11" s="3">
        <v>100</v>
      </c>
      <c r="AC11" s="3">
        <v>100</v>
      </c>
      <c r="AD11" s="3">
        <v>100</v>
      </c>
      <c r="AE11" s="3">
        <v>100</v>
      </c>
      <c r="AF11" s="3">
        <v>100</v>
      </c>
      <c r="AG11" s="3">
        <v>100</v>
      </c>
      <c r="AH11" s="3">
        <v>0</v>
      </c>
    </row>
    <row r="12" spans="1:38" x14ac:dyDescent="0.3">
      <c r="F12" s="8">
        <v>2</v>
      </c>
      <c r="G12" s="8">
        <f>G11-$C$5</f>
        <v>9.3076923076923085E-2</v>
      </c>
      <c r="H12" s="3">
        <v>0</v>
      </c>
      <c r="I12" s="3">
        <v>56.485041930164428</v>
      </c>
      <c r="J12" s="3">
        <v>71.586510052757916</v>
      </c>
      <c r="K12" s="3">
        <v>79.481194444652758</v>
      </c>
      <c r="L12" s="3">
        <v>83.997770220083183</v>
      </c>
      <c r="M12" s="3">
        <v>86.78628974262152</v>
      </c>
      <c r="N12" s="3">
        <v>88.610185925538389</v>
      </c>
      <c r="O12" s="3">
        <v>89.849534006782392</v>
      </c>
      <c r="P12" s="3">
        <v>90.707439189042887</v>
      </c>
      <c r="Q12" s="3">
        <v>91.299543604326729</v>
      </c>
      <c r="R12" s="3">
        <v>91.695124778734723</v>
      </c>
      <c r="S12" s="3">
        <v>91.936990507022927</v>
      </c>
      <c r="T12" s="3">
        <v>92.051493700383631</v>
      </c>
      <c r="U12" s="3">
        <v>92.05359630659207</v>
      </c>
      <c r="V12" s="3">
        <v>91.94918907865619</v>
      </c>
      <c r="W12" s="3">
        <v>91.735611735846945</v>
      </c>
      <c r="X12" s="3">
        <v>91.400619214986079</v>
      </c>
      <c r="Y12" s="3">
        <v>90.91947695893127</v>
      </c>
      <c r="Z12" s="3">
        <v>90.249122878246979</v>
      </c>
      <c r="AA12" s="3">
        <v>89.316943349517473</v>
      </c>
      <c r="AB12" s="3">
        <v>87.998674506208943</v>
      </c>
      <c r="AC12" s="3">
        <v>86.072766274371219</v>
      </c>
      <c r="AD12" s="3">
        <v>83.120659086657071</v>
      </c>
      <c r="AE12" s="3">
        <v>78.295794383965259</v>
      </c>
      <c r="AF12" s="3">
        <v>69.757828138993659</v>
      </c>
      <c r="AG12" s="3">
        <v>53.214356265104243</v>
      </c>
      <c r="AH12" s="3">
        <v>0</v>
      </c>
    </row>
    <row r="13" spans="1:38" x14ac:dyDescent="0.3">
      <c r="A13" s="16" t="s">
        <v>23</v>
      </c>
      <c r="B13" s="5" t="s">
        <v>9</v>
      </c>
      <c r="C13" s="5">
        <v>100</v>
      </c>
      <c r="F13" s="8">
        <v>3</v>
      </c>
      <c r="G13" s="8">
        <f t="shared" ref="G13:G32" si="1">G12-$C$5</f>
        <v>8.6153846153846164E-2</v>
      </c>
      <c r="H13" s="3">
        <v>0</v>
      </c>
      <c r="I13" s="3">
        <v>35.855692849996174</v>
      </c>
      <c r="J13" s="3">
        <v>52.591916865950346</v>
      </c>
      <c r="K13" s="3">
        <v>63.167700622207107</v>
      </c>
      <c r="L13" s="3">
        <v>70.053976396575422</v>
      </c>
      <c r="M13" s="3">
        <v>74.683113807694042</v>
      </c>
      <c r="N13" s="3">
        <v>77.880391742698023</v>
      </c>
      <c r="O13" s="3">
        <v>80.129079868887075</v>
      </c>
      <c r="P13" s="3">
        <v>81.719847291578247</v>
      </c>
      <c r="Q13" s="3">
        <v>82.83279054504068</v>
      </c>
      <c r="R13" s="3">
        <v>83.582406344983369</v>
      </c>
      <c r="S13" s="3">
        <v>84.04242964875985</v>
      </c>
      <c r="T13" s="3">
        <v>84.259580060879998</v>
      </c>
      <c r="U13" s="3">
        <v>84.260967663690465</v>
      </c>
      <c r="V13" s="3">
        <v>84.0576007920547</v>
      </c>
      <c r="W13" s="3">
        <v>83.645143017147063</v>
      </c>
      <c r="X13" s="3">
        <v>83.002233601929518</v>
      </c>
      <c r="Y13" s="3">
        <v>82.085973182556828</v>
      </c>
      <c r="Z13" s="3">
        <v>80.82329895372493</v>
      </c>
      <c r="AA13" s="3">
        <v>79.0955692054944</v>
      </c>
      <c r="AB13" s="3">
        <v>76.711146179585512</v>
      </c>
      <c r="AC13" s="3">
        <v>73.356048197225348</v>
      </c>
      <c r="AD13" s="3">
        <v>68.504100276307867</v>
      </c>
      <c r="AE13" s="3">
        <v>61.253433122886932</v>
      </c>
      <c r="AF13" s="3">
        <v>50.037242567919293</v>
      </c>
      <c r="AG13" s="3">
        <v>32.157567659245856</v>
      </c>
      <c r="AH13" s="3">
        <v>0</v>
      </c>
    </row>
    <row r="14" spans="1:38" x14ac:dyDescent="0.3">
      <c r="A14" s="16"/>
      <c r="B14" s="5" t="s">
        <v>11</v>
      </c>
      <c r="C14" s="5">
        <v>0</v>
      </c>
      <c r="F14" s="8">
        <v>4</v>
      </c>
      <c r="G14" s="8">
        <f t="shared" si="1"/>
        <v>7.9230769230769243E-2</v>
      </c>
      <c r="H14" s="3">
        <v>0</v>
      </c>
      <c r="I14" s="3">
        <v>25.030383531395636</v>
      </c>
      <c r="J14" s="3">
        <v>40.014040918206753</v>
      </c>
      <c r="K14" s="3">
        <v>50.810171067031497</v>
      </c>
      <c r="L14" s="3">
        <v>58.552952661059557</v>
      </c>
      <c r="M14" s="3">
        <v>64.135041375418751</v>
      </c>
      <c r="N14" s="3">
        <v>68.187275698450179</v>
      </c>
      <c r="O14" s="3">
        <v>71.138426994153505</v>
      </c>
      <c r="P14" s="3">
        <v>73.276987225040628</v>
      </c>
      <c r="Q14" s="3">
        <v>74.797555405235457</v>
      </c>
      <c r="R14" s="3">
        <v>75.832044948347118</v>
      </c>
      <c r="S14" s="3">
        <v>76.469594807678973</v>
      </c>
      <c r="T14" s="3">
        <v>76.768774560298468</v>
      </c>
      <c r="U14" s="3">
        <v>76.7646173334672</v>
      </c>
      <c r="V14" s="3">
        <v>76.472051795324546</v>
      </c>
      <c r="W14" s="3">
        <v>75.886564358019271</v>
      </c>
      <c r="X14" s="3">
        <v>74.982337316871138</v>
      </c>
      <c r="Y14" s="3">
        <v>73.707569446831187</v>
      </c>
      <c r="Z14" s="3">
        <v>71.976079240138176</v>
      </c>
      <c r="AA14" s="3">
        <v>69.653508927457025</v>
      </c>
      <c r="AB14" s="3">
        <v>66.535428939462932</v>
      </c>
      <c r="AC14" s="3">
        <v>62.313557169095347</v>
      </c>
      <c r="AD14" s="3">
        <v>56.526165500474605</v>
      </c>
      <c r="AE14" s="3">
        <v>48.493229798158566</v>
      </c>
      <c r="AF14" s="3">
        <v>37.257483170607905</v>
      </c>
      <c r="AG14" s="3">
        <v>21.622142720900314</v>
      </c>
      <c r="AH14" s="3">
        <v>0</v>
      </c>
    </row>
    <row r="15" spans="1:38" x14ac:dyDescent="0.3">
      <c r="F15" s="8">
        <v>5</v>
      </c>
      <c r="G15" s="8">
        <f t="shared" si="1"/>
        <v>7.2307692307692323E-2</v>
      </c>
      <c r="H15" s="3">
        <v>0</v>
      </c>
      <c r="I15" s="3">
        <v>18.759987035909194</v>
      </c>
      <c r="J15" s="3">
        <v>31.505790645841806</v>
      </c>
      <c r="K15" s="3">
        <v>41.553855223350979</v>
      </c>
      <c r="L15" s="3">
        <v>49.297910070517261</v>
      </c>
      <c r="M15" s="3">
        <v>55.203144461154757</v>
      </c>
      <c r="N15" s="3">
        <v>59.677330864905002</v>
      </c>
      <c r="O15" s="3">
        <v>63.041531253208994</v>
      </c>
      <c r="P15" s="3">
        <v>65.536792211678787</v>
      </c>
      <c r="Q15" s="3">
        <v>67.340048507150712</v>
      </c>
      <c r="R15" s="3">
        <v>68.579407361636413</v>
      </c>
      <c r="S15" s="3">
        <v>69.346012367553712</v>
      </c>
      <c r="T15" s="3">
        <v>69.702261619421591</v>
      </c>
      <c r="U15" s="3">
        <v>69.686895651202491</v>
      </c>
      <c r="V15" s="3">
        <v>69.317519844746897</v>
      </c>
      <c r="W15" s="3">
        <v>68.590943127233118</v>
      </c>
      <c r="X15" s="3">
        <v>67.481466655726393</v>
      </c>
      <c r="Y15" s="3">
        <v>65.936995319029108</v>
      </c>
      <c r="Z15" s="3">
        <v>63.872596408374363</v>
      </c>
      <c r="AA15" s="3">
        <v>61.160954703698252</v>
      </c>
      <c r="AB15" s="3">
        <v>57.619262967332659</v>
      </c>
      <c r="AC15" s="3">
        <v>52.992963453975008</v>
      </c>
      <c r="AD15" s="3">
        <v>46.93970634190201</v>
      </c>
      <c r="AE15" s="3">
        <v>39.024842666644147</v>
      </c>
      <c r="AF15" s="3">
        <v>28.758801132977851</v>
      </c>
      <c r="AG15" s="3">
        <v>15.747687782753989</v>
      </c>
      <c r="AH15" s="3">
        <v>0</v>
      </c>
    </row>
    <row r="16" spans="1:38" x14ac:dyDescent="0.3">
      <c r="F16" s="8">
        <v>6</v>
      </c>
      <c r="G16" s="8">
        <f t="shared" si="1"/>
        <v>6.5384615384615402E-2</v>
      </c>
      <c r="H16" s="3">
        <v>0</v>
      </c>
      <c r="I16" s="3">
        <v>14.799729861188135</v>
      </c>
      <c r="J16" s="3">
        <v>25.564698389787797</v>
      </c>
      <c r="K16" s="3">
        <v>34.585790601648874</v>
      </c>
      <c r="L16" s="3">
        <v>41.918225719857638</v>
      </c>
      <c r="M16" s="3">
        <v>47.762182092415536</v>
      </c>
      <c r="N16" s="3">
        <v>52.350064125430336</v>
      </c>
      <c r="O16" s="3">
        <v>55.896835443977565</v>
      </c>
      <c r="P16" s="3">
        <v>58.583245917711068</v>
      </c>
      <c r="Q16" s="3">
        <v>60.553912731424013</v>
      </c>
      <c r="R16" s="3">
        <v>61.920885590178358</v>
      </c>
      <c r="S16" s="3">
        <v>62.768329993991046</v>
      </c>
      <c r="T16" s="3">
        <v>63.156528200986969</v>
      </c>
      <c r="U16" s="3">
        <v>63.124590044640883</v>
      </c>
      <c r="V16" s="3">
        <v>62.691754052033858</v>
      </c>
      <c r="W16" s="3">
        <v>61.857311840543034</v>
      </c>
      <c r="X16" s="3">
        <v>60.599197681685183</v>
      </c>
      <c r="Y16" s="3">
        <v>58.871256884991929</v>
      </c>
      <c r="Z16" s="3">
        <v>56.599224758768862</v>
      </c>
      <c r="AA16" s="3">
        <v>53.675626760905416</v>
      </c>
      <c r="AB16" s="3">
        <v>49.954361592784124</v>
      </c>
      <c r="AC16" s="3">
        <v>45.247058704899445</v>
      </c>
      <c r="AD16" s="3">
        <v>39.326142609749766</v>
      </c>
      <c r="AE16" s="3">
        <v>31.945037704795141</v>
      </c>
      <c r="AF16" s="3">
        <v>22.895372144802547</v>
      </c>
      <c r="AG16" s="3">
        <v>12.133883404813249</v>
      </c>
      <c r="AH16" s="3">
        <v>0</v>
      </c>
    </row>
    <row r="17" spans="1:34" x14ac:dyDescent="0.3">
      <c r="F17" s="8">
        <v>7</v>
      </c>
      <c r="G17" s="8">
        <f t="shared" si="1"/>
        <v>5.8461538461538481E-2</v>
      </c>
      <c r="H17" s="3">
        <v>0</v>
      </c>
      <c r="I17" s="3">
        <v>12.119670956741864</v>
      </c>
      <c r="J17" s="3">
        <v>21.280942560885936</v>
      </c>
      <c r="K17" s="3">
        <v>29.282069209873203</v>
      </c>
      <c r="L17" s="3">
        <v>36.044088436073061</v>
      </c>
      <c r="M17" s="3">
        <v>41.621316693248744</v>
      </c>
      <c r="N17" s="3">
        <v>46.127691024805756</v>
      </c>
      <c r="O17" s="3">
        <v>49.693547001563417</v>
      </c>
      <c r="P17" s="3">
        <v>52.443581796568502</v>
      </c>
      <c r="Q17" s="3">
        <v>54.487283843545576</v>
      </c>
      <c r="R17" s="3">
        <v>55.915812101854954</v>
      </c>
      <c r="S17" s="3">
        <v>56.801733716248272</v>
      </c>
      <c r="T17" s="3">
        <v>57.199678337443068</v>
      </c>
      <c r="U17" s="3">
        <v>57.146949461281821</v>
      </c>
      <c r="V17" s="3">
        <v>56.663668211578667</v>
      </c>
      <c r="W17" s="3">
        <v>55.752298486503868</v>
      </c>
      <c r="X17" s="3">
        <v>54.396545198910935</v>
      </c>
      <c r="Y17" s="3">
        <v>52.559723582758352</v>
      </c>
      <c r="Z17" s="3">
        <v>50.182850183586922</v>
      </c>
      <c r="AA17" s="3">
        <v>47.183003581368297</v>
      </c>
      <c r="AB17" s="3">
        <v>43.453084736707069</v>
      </c>
      <c r="AC17" s="3">
        <v>38.865170590532479</v>
      </c>
      <c r="AD17" s="3">
        <v>33.281428368567191</v>
      </c>
      <c r="AE17" s="3">
        <v>26.579128007272416</v>
      </c>
      <c r="AF17" s="3">
        <v>18.699028215558421</v>
      </c>
      <c r="AG17" s="3">
        <v>9.7264642549547737</v>
      </c>
      <c r="AH17" s="3">
        <v>0</v>
      </c>
    </row>
    <row r="18" spans="1:34" x14ac:dyDescent="0.3">
      <c r="F18" s="8">
        <v>8</v>
      </c>
      <c r="G18" s="8">
        <f t="shared" si="1"/>
        <v>5.1538461538461561E-2</v>
      </c>
      <c r="H18" s="3">
        <v>0</v>
      </c>
      <c r="I18" s="3">
        <v>10.211081160055437</v>
      </c>
      <c r="J18" s="3">
        <v>18.106696408902529</v>
      </c>
      <c r="K18" s="3">
        <v>25.198268999137646</v>
      </c>
      <c r="L18" s="3">
        <v>31.364145844829309</v>
      </c>
      <c r="M18" s="3">
        <v>36.584773231868411</v>
      </c>
      <c r="N18" s="3">
        <v>40.900556723670555</v>
      </c>
      <c r="O18" s="3">
        <v>44.381141452176209</v>
      </c>
      <c r="P18" s="3">
        <v>47.105891353066383</v>
      </c>
      <c r="Q18" s="3">
        <v>49.152623131002841</v>
      </c>
      <c r="R18" s="3">
        <v>50.591585266341696</v>
      </c>
      <c r="S18" s="3">
        <v>51.482412895071548</v>
      </c>
      <c r="T18" s="3">
        <v>51.872578433161507</v>
      </c>
      <c r="U18" s="3">
        <v>51.796465753187704</v>
      </c>
      <c r="V18" s="3">
        <v>51.274605724584298</v>
      </c>
      <c r="W18" s="3">
        <v>50.3128736470319</v>
      </c>
      <c r="X18" s="3">
        <v>48.901626962499947</v>
      </c>
      <c r="Y18" s="3">
        <v>47.014913923632221</v>
      </c>
      <c r="Z18" s="3">
        <v>44.610067935739586</v>
      </c>
      <c r="AA18" s="3">
        <v>41.628278399483939</v>
      </c>
      <c r="AB18" s="3">
        <v>37.997160511096894</v>
      </c>
      <c r="AC18" s="3">
        <v>33.63698204987665</v>
      </c>
      <c r="AD18" s="3">
        <v>28.47301401547206</v>
      </c>
      <c r="AE18" s="3">
        <v>22.457180270529641</v>
      </c>
      <c r="AF18" s="3">
        <v>15.601921422582027</v>
      </c>
      <c r="AG18" s="3">
        <v>8.0258795695036866</v>
      </c>
      <c r="AH18" s="3">
        <v>0</v>
      </c>
    </row>
    <row r="19" spans="1:34" x14ac:dyDescent="0.3">
      <c r="A19" s="17" t="s">
        <v>21</v>
      </c>
      <c r="B19" s="6" t="s">
        <v>14</v>
      </c>
      <c r="C19" s="6">
        <f>C11/(C4^2)</f>
        <v>959753.08641975326</v>
      </c>
      <c r="F19" s="8">
        <v>9</v>
      </c>
      <c r="G19" s="8">
        <f t="shared" si="1"/>
        <v>4.461538461538464E-2</v>
      </c>
      <c r="H19" s="3">
        <v>0</v>
      </c>
      <c r="I19" s="3">
        <v>8.803546746319423</v>
      </c>
      <c r="J19" s="3">
        <v>15.706316460864146</v>
      </c>
      <c r="K19" s="3">
        <v>22.025418943313227</v>
      </c>
      <c r="L19" s="3">
        <v>27.63356777776383</v>
      </c>
      <c r="M19" s="3">
        <v>32.476838914971005</v>
      </c>
      <c r="N19" s="3">
        <v>36.552561423940865</v>
      </c>
      <c r="O19" s="3">
        <v>39.889606808097682</v>
      </c>
      <c r="P19" s="3">
        <v>42.53352940719099</v>
      </c>
      <c r="Q19" s="3">
        <v>44.536357352426919</v>
      </c>
      <c r="R19" s="3">
        <v>45.949939412233753</v>
      </c>
      <c r="S19" s="3">
        <v>46.821693410130351</v>
      </c>
      <c r="T19" s="3">
        <v>47.191844432749782</v>
      </c>
      <c r="U19" s="3">
        <v>47.091535090862152</v>
      </c>
      <c r="V19" s="3">
        <v>46.541443414030141</v>
      </c>
      <c r="W19" s="3">
        <v>45.55074056421396</v>
      </c>
      <c r="X19" s="3">
        <v>44.116376287776674</v>
      </c>
      <c r="Y19" s="3">
        <v>42.222821915344582</v>
      </c>
      <c r="Z19" s="3">
        <v>39.842558186638165</v>
      </c>
      <c r="AA19" s="3">
        <v>36.937794493512371</v>
      </c>
      <c r="AB19" s="3">
        <v>33.464160641868318</v>
      </c>
      <c r="AC19" s="3">
        <v>29.377399217508025</v>
      </c>
      <c r="AD19" s="3">
        <v>24.644298049276916</v>
      </c>
      <c r="AE19" s="3">
        <v>19.258954700271051</v>
      </c>
      <c r="AF19" s="3">
        <v>13.264367959236735</v>
      </c>
      <c r="AG19" s="3">
        <v>6.7762995618228201</v>
      </c>
      <c r="AH19" s="3">
        <v>0</v>
      </c>
    </row>
    <row r="20" spans="1:34" x14ac:dyDescent="0.3">
      <c r="A20" s="17"/>
      <c r="B20" s="6" t="s">
        <v>16</v>
      </c>
      <c r="C20" s="6">
        <f>2*C11/(C4^2)+C10*C9/C6</f>
        <v>5507506.1728395065</v>
      </c>
      <c r="F20" s="8">
        <v>10</v>
      </c>
      <c r="G20" s="8">
        <f t="shared" si="1"/>
        <v>3.7692307692307719E-2</v>
      </c>
      <c r="H20" s="3">
        <v>0</v>
      </c>
      <c r="I20" s="3">
        <v>7.7429700435664985</v>
      </c>
      <c r="J20" s="3">
        <v>13.868119038585426</v>
      </c>
      <c r="K20" s="3">
        <v>19.54876910968207</v>
      </c>
      <c r="L20" s="3">
        <v>24.664997214713871</v>
      </c>
      <c r="M20" s="3">
        <v>29.148832143140375</v>
      </c>
      <c r="N20" s="3">
        <v>32.973577191694972</v>
      </c>
      <c r="O20" s="3">
        <v>36.141956910482065</v>
      </c>
      <c r="P20" s="3">
        <v>38.67566285217935</v>
      </c>
      <c r="Q20" s="3">
        <v>40.607089151682899</v>
      </c>
      <c r="R20" s="3">
        <v>41.97315999137966</v>
      </c>
      <c r="S20" s="3">
        <v>42.810830486913503</v>
      </c>
      <c r="T20" s="3">
        <v>43.153815205732343</v>
      </c>
      <c r="U20" s="3">
        <v>43.030192207561662</v>
      </c>
      <c r="V20" s="3">
        <v>42.460656464746563</v>
      </c>
      <c r="W20" s="3">
        <v>41.457318778600388</v>
      </c>
      <c r="X20" s="3">
        <v>40.023057436490433</v>
      </c>
      <c r="Y20" s="3">
        <v>38.151535551296234</v>
      </c>
      <c r="Z20" s="3">
        <v>35.828106334187638</v>
      </c>
      <c r="AA20" s="3">
        <v>33.031945842749494</v>
      </c>
      <c r="AB20" s="3">
        <v>29.739867397792551</v>
      </c>
      <c r="AC20" s="3">
        <v>25.932341634377089</v>
      </c>
      <c r="AD20" s="3">
        <v>21.602171391128842</v>
      </c>
      <c r="AE20" s="3">
        <v>16.765862244170336</v>
      </c>
      <c r="AF20" s="3">
        <v>11.476692041695246</v>
      </c>
      <c r="AG20" s="3">
        <v>5.8364801746512605</v>
      </c>
      <c r="AH20" s="3">
        <v>0</v>
      </c>
    </row>
    <row r="21" spans="1:34" x14ac:dyDescent="0.3">
      <c r="A21" s="17"/>
      <c r="B21" s="6" t="s">
        <v>17</v>
      </c>
      <c r="C21" s="6">
        <f>C19</f>
        <v>959753.08641975326</v>
      </c>
      <c r="F21" s="8">
        <v>11</v>
      </c>
      <c r="G21" s="8">
        <f t="shared" si="1"/>
        <v>3.0769230769230799E-2</v>
      </c>
      <c r="H21" s="3">
        <v>0</v>
      </c>
      <c r="I21" s="3">
        <v>6.9358173248896993</v>
      </c>
      <c r="J21" s="3">
        <v>12.454004272657684</v>
      </c>
      <c r="K21" s="3">
        <v>17.617247660438114</v>
      </c>
      <c r="L21" s="3">
        <v>22.316058625478401</v>
      </c>
      <c r="M21" s="3">
        <v>26.478275891267653</v>
      </c>
      <c r="N21" s="3">
        <v>30.064521760451196</v>
      </c>
      <c r="O21" s="3">
        <v>33.061420205396487</v>
      </c>
      <c r="P21" s="3">
        <v>35.474553446762144</v>
      </c>
      <c r="Q21" s="3">
        <v>37.322128883903432</v>
      </c>
      <c r="R21" s="3">
        <v>38.629684236830691</v>
      </c>
      <c r="S21" s="3">
        <v>39.425827145659781</v>
      </c>
      <c r="T21" s="3">
        <v>39.738880144424861</v>
      </c>
      <c r="U21" s="3">
        <v>39.594290588209802</v>
      </c>
      <c r="V21" s="3">
        <v>39.012706712054595</v>
      </c>
      <c r="W21" s="3">
        <v>38.008682011436655</v>
      </c>
      <c r="X21" s="3">
        <v>36.590035521166129</v>
      </c>
      <c r="Y21" s="3">
        <v>34.757960166754536</v>
      </c>
      <c r="Z21" s="3">
        <v>32.508032685005233</v>
      </c>
      <c r="AA21" s="3">
        <v>29.832330245105148</v>
      </c>
      <c r="AB21" s="3">
        <v>26.722883177233705</v>
      </c>
      <c r="AC21" s="3">
        <v>23.176652397120012</v>
      </c>
      <c r="AD21" s="3">
        <v>19.202047453875366</v>
      </c>
      <c r="AE21" s="3">
        <v>14.826598445998902</v>
      </c>
      <c r="AF21" s="3">
        <v>10.10465471575969</v>
      </c>
      <c r="AG21" s="3">
        <v>5.1228713821679808</v>
      </c>
      <c r="AH21" s="3">
        <v>0</v>
      </c>
    </row>
    <row r="22" spans="1:34" x14ac:dyDescent="0.3">
      <c r="F22" s="8">
        <v>12</v>
      </c>
      <c r="G22" s="8">
        <f t="shared" si="1"/>
        <v>2.3846153846153878E-2</v>
      </c>
      <c r="H22" s="3">
        <v>0</v>
      </c>
      <c r="I22" s="3">
        <v>6.3221684745740383</v>
      </c>
      <c r="J22" s="3">
        <v>11.370826794577704</v>
      </c>
      <c r="K22" s="3">
        <v>16.122791431448714</v>
      </c>
      <c r="L22" s="3">
        <v>20.47832350504385</v>
      </c>
      <c r="M22" s="3">
        <v>24.365494671525283</v>
      </c>
      <c r="N22" s="3">
        <v>27.738786194830784</v>
      </c>
      <c r="O22" s="3">
        <v>30.575376155123621</v>
      </c>
      <c r="P22" s="3">
        <v>32.870470336187786</v>
      </c>
      <c r="Q22" s="3">
        <v>34.632537421410333</v>
      </c>
      <c r="R22" s="3">
        <v>35.878906787975708</v>
      </c>
      <c r="S22" s="3">
        <v>36.631926644273584</v>
      </c>
      <c r="T22" s="3">
        <v>36.915741490284027</v>
      </c>
      <c r="U22" s="3">
        <v>36.753692519499928</v>
      </c>
      <c r="V22" s="3">
        <v>36.166338216448899</v>
      </c>
      <c r="W22" s="3">
        <v>35.170110908800105</v>
      </c>
      <c r="X22" s="3">
        <v>33.776653613627609</v>
      </c>
      <c r="Y22" s="3">
        <v>31.992911176330367</v>
      </c>
      <c r="Z22" s="3">
        <v>29.822073071552587</v>
      </c>
      <c r="AA22" s="3">
        <v>27.26547237287604</v>
      </c>
      <c r="AB22" s="3">
        <v>24.325519721404365</v>
      </c>
      <c r="AC22" s="3">
        <v>21.009666190435667</v>
      </c>
      <c r="AD22" s="3">
        <v>17.335208265521423</v>
      </c>
      <c r="AE22" s="3">
        <v>13.334433231785122</v>
      </c>
      <c r="AF22" s="3">
        <v>9.0591393657751382</v>
      </c>
      <c r="AG22" s="3">
        <v>4.5830184026726544</v>
      </c>
      <c r="AH22" s="3">
        <v>0</v>
      </c>
    </row>
    <row r="23" spans="1:34" x14ac:dyDescent="0.3">
      <c r="F23" s="8">
        <v>13</v>
      </c>
      <c r="G23" s="8">
        <f t="shared" si="1"/>
        <v>1.6923076923076957E-2</v>
      </c>
      <c r="H23" s="3">
        <v>0</v>
      </c>
      <c r="I23" s="3">
        <v>5.8620347532258066</v>
      </c>
      <c r="J23" s="3">
        <v>10.554062216474284</v>
      </c>
      <c r="K23" s="3">
        <v>14.986998822913078</v>
      </c>
      <c r="L23" s="3">
        <v>19.068969398064944</v>
      </c>
      <c r="M23" s="3">
        <v>22.730001279989416</v>
      </c>
      <c r="N23" s="3">
        <v>25.922142685858081</v>
      </c>
      <c r="O23" s="3">
        <v>28.617489052922789</v>
      </c>
      <c r="P23" s="3">
        <v>30.805026887359251</v>
      </c>
      <c r="Q23" s="3">
        <v>32.486990379344668</v>
      </c>
      <c r="R23" s="3">
        <v>33.675192360647372</v>
      </c>
      <c r="S23" s="3">
        <v>34.387606189963805</v>
      </c>
      <c r="T23" s="3">
        <v>34.645353834616628</v>
      </c>
      <c r="U23" s="3">
        <v>34.470188338531528</v>
      </c>
      <c r="V23" s="3">
        <v>33.882529586842921</v>
      </c>
      <c r="W23" s="3">
        <v>32.900105463647925</v>
      </c>
      <c r="X23" s="3">
        <v>31.537254239971915</v>
      </c>
      <c r="Y23" s="3">
        <v>29.804949151020736</v>
      </c>
      <c r="Z23" s="3">
        <v>27.711604234708894</v>
      </c>
      <c r="AA23" s="3">
        <v>25.264701769445775</v>
      </c>
      <c r="AB23" s="3">
        <v>22.473233045624262</v>
      </c>
      <c r="AC23" s="3">
        <v>19.350849330608508</v>
      </c>
      <c r="AD23" s="3">
        <v>15.919462152036981</v>
      </c>
      <c r="AE23" s="3">
        <v>12.212804183839786</v>
      </c>
      <c r="AF23" s="3">
        <v>8.2791856571722438</v>
      </c>
      <c r="AG23" s="3">
        <v>4.1824377827096146</v>
      </c>
      <c r="AH23" s="3">
        <v>0</v>
      </c>
    </row>
    <row r="24" spans="1:34" x14ac:dyDescent="0.3">
      <c r="A24" s="18" t="s">
        <v>22</v>
      </c>
      <c r="B24" s="7" t="s">
        <v>14</v>
      </c>
      <c r="C24" s="7">
        <f>C11/(C4^2)</f>
        <v>959753.08641975326</v>
      </c>
      <c r="F24" s="8">
        <v>14</v>
      </c>
      <c r="G24" s="8">
        <f t="shared" si="1"/>
        <v>1.0000000000000035E-2</v>
      </c>
      <c r="H24" s="3">
        <v>0</v>
      </c>
      <c r="I24" s="3">
        <v>5.5281748312742742</v>
      </c>
      <c r="J24" s="3">
        <v>9.9584965480737075</v>
      </c>
      <c r="K24" s="3">
        <v>14.152821105194352</v>
      </c>
      <c r="L24" s="3">
        <v>18.025033341836334</v>
      </c>
      <c r="M24" s="3">
        <v>21.507584159594948</v>
      </c>
      <c r="N24" s="3">
        <v>24.552232906098126</v>
      </c>
      <c r="O24" s="3">
        <v>27.128932750922914</v>
      </c>
      <c r="P24" s="3">
        <v>29.22351594484671</v>
      </c>
      <c r="Q24" s="3">
        <v>30.834745904662928</v>
      </c>
      <c r="R24" s="3">
        <v>31.971160402903454</v>
      </c>
      <c r="S24" s="3">
        <v>32.647996843335058</v>
      </c>
      <c r="T24" s="3">
        <v>32.88439066578421</v>
      </c>
      <c r="U24" s="3">
        <v>32.700973387097449</v>
      </c>
      <c r="V24" s="3">
        <v>32.117960173568967</v>
      </c>
      <c r="W24" s="3">
        <v>31.15379834638771</v>
      </c>
      <c r="X24" s="3">
        <v>29.824438727815437</v>
      </c>
      <c r="Y24" s="3">
        <v>28.143283259986688</v>
      </c>
      <c r="Z24" s="3">
        <v>26.12184720287885</v>
      </c>
      <c r="AA24" s="3">
        <v>23.771143970345101</v>
      </c>
      <c r="AB24" s="3">
        <v>21.103745437519418</v>
      </c>
      <c r="AC24" s="3">
        <v>18.136380063588931</v>
      </c>
      <c r="AD24" s="3">
        <v>14.892798525525336</v>
      </c>
      <c r="AE24" s="3">
        <v>11.406466516765901</v>
      </c>
      <c r="AF24" s="3">
        <v>7.7224670167303708</v>
      </c>
      <c r="AG24" s="3">
        <v>3.8978819538146388</v>
      </c>
      <c r="AH24" s="3">
        <v>0</v>
      </c>
    </row>
    <row r="25" spans="1:34" x14ac:dyDescent="0.3">
      <c r="A25" s="18"/>
      <c r="B25" s="7" t="s">
        <v>16</v>
      </c>
      <c r="C25" s="7">
        <f>2*C11/(C4^2)+C10*C9/C6</f>
        <v>5507506.1728395065</v>
      </c>
      <c r="F25" s="8">
        <v>15</v>
      </c>
      <c r="G25" s="8">
        <f t="shared" si="1"/>
        <v>3.0769230769231125E-3</v>
      </c>
      <c r="H25" s="3">
        <v>0</v>
      </c>
      <c r="I25" s="3">
        <v>5.3023211575309857</v>
      </c>
      <c r="J25" s="3">
        <v>9.5530551910398085</v>
      </c>
      <c r="K25" s="3">
        <v>13.579660175872819</v>
      </c>
      <c r="L25" s="3">
        <v>17.29979787736108</v>
      </c>
      <c r="M25" s="3">
        <v>20.648333653309205</v>
      </c>
      <c r="N25" s="3">
        <v>23.57813845275134</v>
      </c>
      <c r="O25" s="3">
        <v>26.059198296489427</v>
      </c>
      <c r="P25" s="3">
        <v>28.076603789531593</v>
      </c>
      <c r="Q25" s="3">
        <v>29.62791867748966</v>
      </c>
      <c r="R25" s="3">
        <v>30.720308512774597</v>
      </c>
      <c r="S25" s="3">
        <v>31.367699374858713</v>
      </c>
      <c r="T25" s="3">
        <v>31.588152001276491</v>
      </c>
      <c r="U25" s="3">
        <v>31.401580403956796</v>
      </c>
      <c r="V25" s="3">
        <v>30.827910085807247</v>
      </c>
      <c r="W25" s="3">
        <v>29.88575141629812</v>
      </c>
      <c r="X25" s="3">
        <v>28.591651161335967</v>
      </c>
      <c r="Y25" s="3">
        <v>26.959973055620196</v>
      </c>
      <c r="Z25" s="3">
        <v>25.003440340347783</v>
      </c>
      <c r="AA25" s="3">
        <v>22.734342389166681</v>
      </c>
      <c r="AB25" s="3">
        <v>20.166355842054081</v>
      </c>
      <c r="AC25" s="3">
        <v>17.316849717908269</v>
      </c>
      <c r="AD25" s="3">
        <v>14.209428303271221</v>
      </c>
      <c r="AE25" s="3">
        <v>10.87631934373057</v>
      </c>
      <c r="AF25" s="3">
        <v>7.3600631409288138</v>
      </c>
      <c r="AG25" s="3">
        <v>3.7138606118670667</v>
      </c>
      <c r="AH25" s="3">
        <v>0</v>
      </c>
    </row>
    <row r="26" spans="1:34" x14ac:dyDescent="0.3">
      <c r="A26" s="18"/>
      <c r="B26" s="7" t="s">
        <v>17</v>
      </c>
      <c r="C26" s="7">
        <f>C24</f>
        <v>959753.08641975326</v>
      </c>
      <c r="F26" s="8">
        <v>16</v>
      </c>
      <c r="G26" s="8">
        <f t="shared" si="1"/>
        <v>-3.8461538461538099E-3</v>
      </c>
      <c r="H26" s="3">
        <v>0</v>
      </c>
      <c r="I26" s="3">
        <v>5.1733730103193469</v>
      </c>
      <c r="J26" s="3">
        <v>9.3182314692062018</v>
      </c>
      <c r="K26" s="3">
        <v>13.240830165353428</v>
      </c>
      <c r="L26" s="3">
        <v>16.860853490233126</v>
      </c>
      <c r="M26" s="3">
        <v>20.115573952232587</v>
      </c>
      <c r="N26" s="3">
        <v>22.960212886220408</v>
      </c>
      <c r="O26" s="3">
        <v>25.36671616455207</v>
      </c>
      <c r="P26" s="3">
        <v>27.32157579198909</v>
      </c>
      <c r="Q26" s="3">
        <v>28.823179130666801</v>
      </c>
      <c r="R26" s="3">
        <v>29.879018635031731</v>
      </c>
      <c r="S26" s="3">
        <v>30.502981305287101</v>
      </c>
      <c r="T26" s="3">
        <v>30.712862611713359</v>
      </c>
      <c r="U26" s="3">
        <v>30.528206200870059</v>
      </c>
      <c r="V26" s="3">
        <v>29.968547660814533</v>
      </c>
      <c r="W26" s="3">
        <v>29.05212896570778</v>
      </c>
      <c r="X26" s="3">
        <v>27.795143291172707</v>
      </c>
      <c r="Y26" s="3">
        <v>26.211562733881227</v>
      </c>
      <c r="Z26" s="3">
        <v>24.313589557051422</v>
      </c>
      <c r="AA26" s="3">
        <v>22.112749472341729</v>
      </c>
      <c r="AB26" s="3">
        <v>19.621605694399264</v>
      </c>
      <c r="AC26" s="3">
        <v>16.856005236349723</v>
      </c>
      <c r="AD26" s="3">
        <v>13.837663317916777</v>
      </c>
      <c r="AE26" s="3">
        <v>10.596740853461835</v>
      </c>
      <c r="AF26" s="3">
        <v>7.1738818014210146</v>
      </c>
      <c r="AG26" s="3">
        <v>3.6209952418802978</v>
      </c>
      <c r="AH26" s="3">
        <v>0</v>
      </c>
    </row>
    <row r="27" spans="1:34" x14ac:dyDescent="0.3">
      <c r="F27" s="8">
        <v>17</v>
      </c>
      <c r="G27" s="8">
        <f t="shared" si="1"/>
        <v>-1.0769230769230732E-2</v>
      </c>
      <c r="H27" s="3">
        <v>0</v>
      </c>
      <c r="I27" s="3">
        <v>5.1369219486241189</v>
      </c>
      <c r="J27" s="3">
        <v>9.2453640702432303</v>
      </c>
      <c r="K27" s="3">
        <v>13.122797900726066</v>
      </c>
      <c r="L27" s="3">
        <v>16.689506088857868</v>
      </c>
      <c r="M27" s="3">
        <v>19.885584552681831</v>
      </c>
      <c r="N27" s="3">
        <v>22.670191227979963</v>
      </c>
      <c r="O27" s="3">
        <v>25.019363603694682</v>
      </c>
      <c r="P27" s="3">
        <v>26.923206499676098</v>
      </c>
      <c r="Q27" s="3">
        <v>28.382926025841876</v>
      </c>
      <c r="R27" s="3">
        <v>29.407961788402943</v>
      </c>
      <c r="S27" s="3">
        <v>30.013342417351687</v>
      </c>
      <c r="T27" s="3">
        <v>30.217329749809526</v>
      </c>
      <c r="U27" s="3">
        <v>30.03939597141823</v>
      </c>
      <c r="V27" s="3">
        <v>29.498575685227436</v>
      </c>
      <c r="W27" s="3">
        <v>28.612239592616454</v>
      </c>
      <c r="X27" s="3">
        <v>27.39534246771078</v>
      </c>
      <c r="Y27" s="3">
        <v>25.860202823079092</v>
      </c>
      <c r="Z27" s="3">
        <v>24.016873353932304</v>
      </c>
      <c r="AA27" s="3">
        <v>21.87415676444218</v>
      </c>
      <c r="AB27" s="3">
        <v>19.441304046653855</v>
      </c>
      <c r="AC27" s="3">
        <v>16.730388535443264</v>
      </c>
      <c r="AD27" s="3">
        <v>13.759257449891583</v>
      </c>
      <c r="AE27" s="3">
        <v>10.554793508119214</v>
      </c>
      <c r="AF27" s="3">
        <v>7.1559440970607859</v>
      </c>
      <c r="AG27" s="3">
        <v>3.6155969177632534</v>
      </c>
      <c r="AH27" s="3">
        <v>0</v>
      </c>
    </row>
    <row r="28" spans="1:34" x14ac:dyDescent="0.3">
      <c r="F28" s="8">
        <v>18</v>
      </c>
      <c r="G28" s="8">
        <f t="shared" si="1"/>
        <v>-1.7692307692307653E-2</v>
      </c>
      <c r="H28" s="3">
        <v>0</v>
      </c>
      <c r="I28" s="3">
        <v>5.1959657104181574</v>
      </c>
      <c r="J28" s="3">
        <v>9.3375470447040154</v>
      </c>
      <c r="K28" s="3">
        <v>13.225978417284901</v>
      </c>
      <c r="L28" s="3">
        <v>16.781345636936923</v>
      </c>
      <c r="M28" s="3">
        <v>19.947985461173683</v>
      </c>
      <c r="N28" s="3">
        <v>22.691504547054592</v>
      </c>
      <c r="O28" s="3">
        <v>24.994822231624461</v>
      </c>
      <c r="P28" s="3">
        <v>26.854239415269969</v>
      </c>
      <c r="Q28" s="3">
        <v>28.275924191687587</v>
      </c>
      <c r="R28" s="3">
        <v>29.272891592136084</v>
      </c>
      <c r="S28" s="3">
        <v>29.862434416017003</v>
      </c>
      <c r="T28" s="3">
        <v>30.063942088105591</v>
      </c>
      <c r="U28" s="3">
        <v>29.897065699882909</v>
      </c>
      <c r="V28" s="3">
        <v>29.380218951820975</v>
      </c>
      <c r="W28" s="3">
        <v>28.529433899776002</v>
      </c>
      <c r="X28" s="3">
        <v>27.35761452265314</v>
      </c>
      <c r="Y28" s="3">
        <v>25.874252093525129</v>
      </c>
      <c r="Z28" s="3">
        <v>24.085687202844468</v>
      </c>
      <c r="AA28" s="3">
        <v>21.996025348833832</v>
      </c>
      <c r="AB28" s="3">
        <v>19.608832222223182</v>
      </c>
      <c r="AC28" s="3">
        <v>16.929736119263104</v>
      </c>
      <c r="AD28" s="3">
        <v>13.970013713449902</v>
      </c>
      <c r="AE28" s="3">
        <v>10.75106732118468</v>
      </c>
      <c r="AF28" s="3">
        <v>7.3093185748856193</v>
      </c>
      <c r="AG28" s="3">
        <v>3.7003388068465819</v>
      </c>
      <c r="AH28" s="3">
        <v>0</v>
      </c>
    </row>
    <row r="29" spans="1:34" x14ac:dyDescent="0.3">
      <c r="F29" s="8">
        <v>19</v>
      </c>
      <c r="G29" s="8">
        <f t="shared" si="1"/>
        <v>-2.4615384615384574E-2</v>
      </c>
      <c r="H29" s="3">
        <v>0</v>
      </c>
      <c r="I29" s="3">
        <v>5.3631158332360664</v>
      </c>
      <c r="J29" s="3">
        <v>9.6124337687679429</v>
      </c>
      <c r="K29" s="3">
        <v>13.567179746839429</v>
      </c>
      <c r="L29" s="3">
        <v>17.147921723895394</v>
      </c>
      <c r="M29" s="3">
        <v>20.306654523378526</v>
      </c>
      <c r="N29" s="3">
        <v>23.019654393667654</v>
      </c>
      <c r="O29" s="3">
        <v>25.280663674436823</v>
      </c>
      <c r="P29" s="3">
        <v>27.095389559710437</v>
      </c>
      <c r="Q29" s="3">
        <v>28.477353456041001</v>
      </c>
      <c r="R29" s="3">
        <v>29.44479729579546</v>
      </c>
      <c r="S29" s="3">
        <v>30.018321211833886</v>
      </c>
      <c r="T29" s="3">
        <v>30.219004696553899</v>
      </c>
      <c r="U29" s="3">
        <v>30.066859978986258</v>
      </c>
      <c r="V29" s="3">
        <v>29.57954757359315</v>
      </c>
      <c r="W29" s="3">
        <v>28.771343388310889</v>
      </c>
      <c r="X29" s="3">
        <v>27.652390016833365</v>
      </c>
      <c r="Y29" s="3">
        <v>26.228301809007551</v>
      </c>
      <c r="Z29" s="3">
        <v>24.500234843202207</v>
      </c>
      <c r="AA29" s="3">
        <v>22.465588498010963</v>
      </c>
      <c r="AB29" s="3">
        <v>20.119579349818988</v>
      </c>
      <c r="AC29" s="3">
        <v>17.458011541822462</v>
      </c>
      <c r="AD29" s="3">
        <v>14.481620582168567</v>
      </c>
      <c r="AE29" s="3">
        <v>11.202287702027032</v>
      </c>
      <c r="AF29" s="3">
        <v>7.6510015542445382</v>
      </c>
      <c r="AG29" s="3">
        <v>3.8863382440738903</v>
      </c>
      <c r="AH29" s="3">
        <v>0</v>
      </c>
    </row>
    <row r="30" spans="1:34" x14ac:dyDescent="0.3">
      <c r="F30" s="8">
        <v>20</v>
      </c>
      <c r="G30" s="8">
        <f t="shared" si="1"/>
        <v>-3.1538461538461494E-2</v>
      </c>
      <c r="H30" s="3">
        <v>0</v>
      </c>
      <c r="I30" s="3">
        <v>5.6652736683394913</v>
      </c>
      <c r="J30" s="3">
        <v>10.107792555456312</v>
      </c>
      <c r="K30" s="3">
        <v>14.184107928093308</v>
      </c>
      <c r="L30" s="3">
        <v>17.819545051396496</v>
      </c>
      <c r="M30" s="3">
        <v>20.980981756247491</v>
      </c>
      <c r="N30" s="3">
        <v>23.662392670997718</v>
      </c>
      <c r="O30" s="3">
        <v>25.873939542911039</v>
      </c>
      <c r="P30" s="3">
        <v>27.63471011797429</v>
      </c>
      <c r="Q30" s="3">
        <v>28.968176004847741</v>
      </c>
      <c r="R30" s="3">
        <v>29.899375805933811</v>
      </c>
      <c r="S30" s="3">
        <v>30.453074484987809</v>
      </c>
      <c r="T30" s="3">
        <v>30.65242413397015</v>
      </c>
      <c r="U30" s="3">
        <v>30.517865040494229</v>
      </c>
      <c r="V30" s="3">
        <v>30.066148630102322</v>
      </c>
      <c r="W30" s="3">
        <v>29.309451767565939</v>
      </c>
      <c r="X30" s="3">
        <v>28.254607279986846</v>
      </c>
      <c r="Y30" s="3">
        <v>26.902520346874809</v>
      </c>
      <c r="Z30" s="3">
        <v>25.247895984433121</v>
      </c>
      <c r="AA30" s="3">
        <v>23.279491335587025</v>
      </c>
      <c r="AB30" s="3">
        <v>20.98125009441393</v>
      </c>
      <c r="AC30" s="3">
        <v>18.334890165825339</v>
      </c>
      <c r="AD30" s="3">
        <v>15.324783509384222</v>
      </c>
      <c r="AE30" s="3">
        <v>11.946182968531748</v>
      </c>
      <c r="AF30" s="3">
        <v>8.2176966197163868</v>
      </c>
      <c r="AG30" s="3">
        <v>4.197648250192235</v>
      </c>
      <c r="AH30" s="3">
        <v>0</v>
      </c>
    </row>
    <row r="31" spans="1:34" x14ac:dyDescent="0.3">
      <c r="F31" s="8">
        <v>21</v>
      </c>
      <c r="G31" s="8">
        <f t="shared" si="1"/>
        <v>-3.8461538461538415E-2</v>
      </c>
      <c r="H31" s="3">
        <v>0</v>
      </c>
      <c r="I31" s="3">
        <v>6.1530977596377268</v>
      </c>
      <c r="J31" s="3">
        <v>10.89160021211099</v>
      </c>
      <c r="K31" s="3">
        <v>15.14265700948482</v>
      </c>
      <c r="L31" s="3">
        <v>18.849165300361051</v>
      </c>
      <c r="M31" s="3">
        <v>22.007059927006924</v>
      </c>
      <c r="N31" s="3">
        <v>24.639252115631969</v>
      </c>
      <c r="O31" s="3">
        <v>26.779910112616779</v>
      </c>
      <c r="P31" s="3">
        <v>28.466085529705467</v>
      </c>
      <c r="Q31" s="3">
        <v>29.733699521955558</v>
      </c>
      <c r="R31" s="3">
        <v>30.615784784093769</v>
      </c>
      <c r="S31" s="3">
        <v>31.141720779907228</v>
      </c>
      <c r="T31" s="3">
        <v>31.336788800894478</v>
      </c>
      <c r="U31" s="3">
        <v>31.221730499663632</v>
      </c>
      <c r="V31" s="3">
        <v>30.812188998010551</v>
      </c>
      <c r="W31" s="3">
        <v>30.118009557597198</v>
      </c>
      <c r="X31" s="3">
        <v>29.142424493160778</v>
      </c>
      <c r="Y31" s="3">
        <v>27.881179859697401</v>
      </c>
      <c r="Z31" s="3">
        <v>26.321711057709699</v>
      </c>
      <c r="AA31" s="3">
        <v>24.442577564709197</v>
      </c>
      <c r="AB31" s="3">
        <v>22.213573607826113</v>
      </c>
      <c r="AC31" s="3">
        <v>19.597309369110892</v>
      </c>
      <c r="AD31" s="3">
        <v>16.553678407891464</v>
      </c>
      <c r="AE31" s="3">
        <v>13.049501451011043</v>
      </c>
      <c r="AF31" s="3">
        <v>9.0765048210147672</v>
      </c>
      <c r="AG31" s="3">
        <v>4.6805953490336831</v>
      </c>
      <c r="AH31" s="3">
        <v>0</v>
      </c>
    </row>
    <row r="32" spans="1:34" x14ac:dyDescent="0.3">
      <c r="F32" s="8">
        <v>22</v>
      </c>
      <c r="G32" s="8">
        <f t="shared" si="1"/>
        <v>-4.5384615384615336E-2</v>
      </c>
      <c r="H32" s="3">
        <v>0</v>
      </c>
      <c r="I32" s="3">
        <v>6.9206950308034063</v>
      </c>
      <c r="J32" s="3">
        <v>12.080012326992387</v>
      </c>
      <c r="K32" s="3">
        <v>16.5478824304512</v>
      </c>
      <c r="L32" s="3">
        <v>20.316857030647615</v>
      </c>
      <c r="M32" s="3">
        <v>23.437922424137714</v>
      </c>
      <c r="N32" s="3">
        <v>25.979618823519978</v>
      </c>
      <c r="O32" s="3">
        <v>28.009350743536892</v>
      </c>
      <c r="P32" s="3">
        <v>29.586535706373414</v>
      </c>
      <c r="Q32" s="3">
        <v>30.761205986917393</v>
      </c>
      <c r="R32" s="3">
        <v>31.574666947123148</v>
      </c>
      <c r="S32" s="3">
        <v>32.060599729033143</v>
      </c>
      <c r="T32" s="3">
        <v>32.245938467364056</v>
      </c>
      <c r="U32" s="3">
        <v>32.151303290319113</v>
      </c>
      <c r="V32" s="3">
        <v>31.790960797010829</v>
      </c>
      <c r="W32" s="3">
        <v>31.172345261852513</v>
      </c>
      <c r="X32" s="3">
        <v>30.295178110621251</v>
      </c>
      <c r="Y32" s="3">
        <v>29.150211874750497</v>
      </c>
      <c r="Z32" s="3">
        <v>27.717631336138052</v>
      </c>
      <c r="AA32" s="3">
        <v>25.965213303520819</v>
      </c>
      <c r="AB32" s="3">
        <v>23.846555681793784</v>
      </c>
      <c r="AC32" s="3">
        <v>21.300180877105774</v>
      </c>
      <c r="AD32" s="3">
        <v>18.25134976769462</v>
      </c>
      <c r="AE32" s="3">
        <v>14.620366815412162</v>
      </c>
      <c r="AF32" s="3">
        <v>10.344380641702347</v>
      </c>
      <c r="AG32" s="3">
        <v>5.4238386181821303</v>
      </c>
      <c r="AH32" s="3">
        <v>0</v>
      </c>
    </row>
    <row r="33" spans="6:136" x14ac:dyDescent="0.3">
      <c r="F33" s="8">
        <v>23</v>
      </c>
      <c r="G33" s="8">
        <f t="shared" ref="G33:G37" si="2">G32-$C$5</f>
        <v>-5.2307692307692256E-2</v>
      </c>
      <c r="H33" s="3">
        <v>0</v>
      </c>
      <c r="I33" s="3">
        <v>8.1486603943835423</v>
      </c>
      <c r="J33" s="3">
        <v>13.869005709835898</v>
      </c>
      <c r="K33" s="3">
        <v>18.559043049262389</v>
      </c>
      <c r="L33" s="3">
        <v>22.333200766872995</v>
      </c>
      <c r="M33" s="3">
        <v>25.340943919995496</v>
      </c>
      <c r="N33" s="3">
        <v>27.71798037005177</v>
      </c>
      <c r="O33" s="3">
        <v>29.573650716839595</v>
      </c>
      <c r="P33" s="3">
        <v>30.991980096111085</v>
      </c>
      <c r="Q33" s="3">
        <v>32.036563667688867</v>
      </c>
      <c r="R33" s="3">
        <v>32.755509462597459</v>
      </c>
      <c r="S33" s="3">
        <v>33.185268390686218</v>
      </c>
      <c r="T33" s="3">
        <v>33.353187902957373</v>
      </c>
      <c r="U33" s="3">
        <v>33.278946424508717</v>
      </c>
      <c r="V33" s="3">
        <v>32.975072919993025</v>
      </c>
      <c r="W33" s="3">
        <v>32.446703134647557</v>
      </c>
      <c r="X33" s="3">
        <v>31.69063854597248</v>
      </c>
      <c r="Y33" s="3">
        <v>30.693680894122263</v>
      </c>
      <c r="Z33" s="3">
        <v>29.430129011070079</v>
      </c>
      <c r="AA33" s="3">
        <v>27.858273740201824</v>
      </c>
      <c r="AB33" s="3">
        <v>25.915787556838751</v>
      </c>
      <c r="AC33" s="3">
        <v>23.514273730629544</v>
      </c>
      <c r="AD33" s="3">
        <v>20.534378812941881</v>
      </c>
      <c r="AE33" s="3">
        <v>16.825801267663223</v>
      </c>
      <c r="AF33" s="3">
        <v>12.223292034854959</v>
      </c>
      <c r="AG33" s="3">
        <v>6.6038219052533371</v>
      </c>
      <c r="AH33" s="3">
        <v>0</v>
      </c>
    </row>
    <row r="34" spans="6:136" x14ac:dyDescent="0.3">
      <c r="F34" s="8">
        <v>24</v>
      </c>
      <c r="G34" s="8">
        <f t="shared" si="2"/>
        <v>-5.9230769230769177E-2</v>
      </c>
      <c r="H34" s="3">
        <v>0</v>
      </c>
      <c r="I34" s="3">
        <v>10.203572172683279</v>
      </c>
      <c r="J34" s="3">
        <v>16.58841916830789</v>
      </c>
      <c r="K34" s="3">
        <v>21.406192180242151</v>
      </c>
      <c r="L34" s="3">
        <v>25.036790188340149</v>
      </c>
      <c r="M34" s="3">
        <v>27.788728269415664</v>
      </c>
      <c r="N34" s="3">
        <v>29.884259230324513</v>
      </c>
      <c r="O34" s="3">
        <v>31.47678421305401</v>
      </c>
      <c r="P34" s="3">
        <v>32.671215281751486</v>
      </c>
      <c r="Q34" s="3">
        <v>33.539902167114079</v>
      </c>
      <c r="R34" s="3">
        <v>34.133549538821526</v>
      </c>
      <c r="S34" s="3">
        <v>34.488202647082709</v>
      </c>
      <c r="T34" s="3">
        <v>34.629462011173004</v>
      </c>
      <c r="U34" s="3">
        <v>34.574800269350312</v>
      </c>
      <c r="V34" s="3">
        <v>34.334547638373984</v>
      </c>
      <c r="W34" s="3">
        <v>33.911859254912585</v>
      </c>
      <c r="X34" s="3">
        <v>33.301768059267637</v>
      </c>
      <c r="Y34" s="3">
        <v>32.48923039153744</v>
      </c>
      <c r="Z34" s="3">
        <v>31.445854244300062</v>
      </c>
      <c r="AA34" s="3">
        <v>30.124732168052201</v>
      </c>
      <c r="AB34" s="3">
        <v>28.452476097607292</v>
      </c>
      <c r="AC34" s="3">
        <v>26.317259508817841</v>
      </c>
      <c r="AD34" s="3">
        <v>23.551823312672308</v>
      </c>
      <c r="AE34" s="3">
        <v>19.912372885771493</v>
      </c>
      <c r="AF34" s="3">
        <v>15.062184818704857</v>
      </c>
      <c r="AG34" s="3">
        <v>8.5938723961301449</v>
      </c>
      <c r="AH34" s="3">
        <v>0</v>
      </c>
    </row>
    <row r="35" spans="6:136" x14ac:dyDescent="0.3">
      <c r="F35" s="8">
        <v>25</v>
      </c>
      <c r="G35" s="8">
        <f t="shared" si="2"/>
        <v>-6.6153846153846105E-2</v>
      </c>
      <c r="H35" s="3">
        <v>0</v>
      </c>
      <c r="I35" s="3">
        <v>13.88108627862364</v>
      </c>
      <c r="J35" s="3">
        <v>20.786177704184297</v>
      </c>
      <c r="K35" s="3">
        <v>25.395731570234528</v>
      </c>
      <c r="L35" s="3">
        <v>28.574453593311603</v>
      </c>
      <c r="M35" s="3">
        <v>30.83710178242729</v>
      </c>
      <c r="N35" s="3">
        <v>32.486598251926146</v>
      </c>
      <c r="O35" s="3">
        <v>33.703508653016073</v>
      </c>
      <c r="P35" s="3">
        <v>34.598295552654093</v>
      </c>
      <c r="Q35" s="3">
        <v>35.240792248792445</v>
      </c>
      <c r="R35" s="3">
        <v>35.676683011633351</v>
      </c>
      <c r="S35" s="3">
        <v>35.936700361477129</v>
      </c>
      <c r="T35" s="3">
        <v>36.041700338868509</v>
      </c>
      <c r="U35" s="3">
        <v>36.005329041633011</v>
      </c>
      <c r="V35" s="3">
        <v>35.83518745278478</v>
      </c>
      <c r="W35" s="3">
        <v>35.532933656969981</v>
      </c>
      <c r="X35" s="3">
        <v>35.09345102592777</v>
      </c>
      <c r="Y35" s="3">
        <v>34.502941566381722</v>
      </c>
      <c r="Z35" s="3">
        <v>33.735476827920607</v>
      </c>
      <c r="AA35" s="3">
        <v>32.747031740826912</v>
      </c>
      <c r="AB35" s="3">
        <v>31.465143422062958</v>
      </c>
      <c r="AC35" s="3">
        <v>29.770747661105133</v>
      </c>
      <c r="AD35" s="3">
        <v>27.465956364595488</v>
      </c>
      <c r="AE35" s="3">
        <v>24.217133712133737</v>
      </c>
      <c r="AF35" s="3">
        <v>19.457835972537659</v>
      </c>
      <c r="AG35" s="3">
        <v>12.240836261713243</v>
      </c>
      <c r="AH35" s="3">
        <v>0</v>
      </c>
    </row>
    <row r="36" spans="6:136" x14ac:dyDescent="0.3">
      <c r="F36" s="8">
        <v>26</v>
      </c>
      <c r="G36" s="8">
        <f t="shared" si="2"/>
        <v>-7.3076923076923025E-2</v>
      </c>
      <c r="H36" s="3">
        <v>0</v>
      </c>
      <c r="I36" s="3">
        <v>21.031002654564929</v>
      </c>
      <c r="J36" s="3">
        <v>27.324672561025125</v>
      </c>
      <c r="K36" s="3">
        <v>30.862878930958079</v>
      </c>
      <c r="L36" s="3">
        <v>33.040249328522641</v>
      </c>
      <c r="M36" s="3">
        <v>34.481165633069367</v>
      </c>
      <c r="N36" s="3">
        <v>35.484764839075154</v>
      </c>
      <c r="O36" s="3">
        <v>36.204512830688714</v>
      </c>
      <c r="P36" s="3">
        <v>36.724557350788913</v>
      </c>
      <c r="Q36" s="3">
        <v>37.094009836024377</v>
      </c>
      <c r="R36" s="3">
        <v>37.343169244385628</v>
      </c>
      <c r="S36" s="3">
        <v>37.491550191961132</v>
      </c>
      <c r="T36" s="3">
        <v>37.551961231035776</v>
      </c>
      <c r="U36" s="3">
        <v>37.532544168082637</v>
      </c>
      <c r="V36" s="3">
        <v>37.437657661184559</v>
      </c>
      <c r="W36" s="3">
        <v>37.267994702348489</v>
      </c>
      <c r="X36" s="3">
        <v>37.020040521800794</v>
      </c>
      <c r="Y36" s="3">
        <v>36.684745677002439</v>
      </c>
      <c r="Z36" s="3">
        <v>36.244987814626199</v>
      </c>
      <c r="AA36" s="3">
        <v>35.670852953020706</v>
      </c>
      <c r="AB36" s="3">
        <v>34.910623066506517</v>
      </c>
      <c r="AC36" s="3">
        <v>33.872742210858227</v>
      </c>
      <c r="AD36" s="3">
        <v>32.387720304687733</v>
      </c>
      <c r="AE36" s="3">
        <v>30.122977232661658</v>
      </c>
      <c r="AF36" s="3">
        <v>26.381637606384484</v>
      </c>
      <c r="AG36" s="3">
        <v>19.60173539221471</v>
      </c>
      <c r="AH36" s="3">
        <v>0</v>
      </c>
    </row>
    <row r="37" spans="6:136" x14ac:dyDescent="0.3">
      <c r="F37" s="8">
        <v>27</v>
      </c>
      <c r="G37" s="8">
        <f t="shared" si="2"/>
        <v>-7.9999999999999946E-2</v>
      </c>
      <c r="H37" s="3">
        <v>0</v>
      </c>
      <c r="I37" s="3">
        <v>50</v>
      </c>
      <c r="J37" s="3">
        <v>50</v>
      </c>
      <c r="K37" s="3">
        <v>50</v>
      </c>
      <c r="L37" s="3">
        <v>50</v>
      </c>
      <c r="M37" s="3">
        <v>50</v>
      </c>
      <c r="N37" s="3">
        <v>50</v>
      </c>
      <c r="O37" s="3">
        <v>50</v>
      </c>
      <c r="P37" s="3">
        <v>50</v>
      </c>
      <c r="Q37" s="3">
        <v>50</v>
      </c>
      <c r="R37" s="3">
        <v>50</v>
      </c>
      <c r="S37" s="3">
        <v>50</v>
      </c>
      <c r="T37" s="3">
        <v>50</v>
      </c>
      <c r="U37" s="3">
        <v>50</v>
      </c>
      <c r="V37" s="3">
        <v>50</v>
      </c>
      <c r="W37" s="3">
        <v>50</v>
      </c>
      <c r="X37" s="3">
        <v>50</v>
      </c>
      <c r="Y37" s="3">
        <v>50</v>
      </c>
      <c r="Z37" s="3">
        <v>50</v>
      </c>
      <c r="AA37" s="3">
        <v>50</v>
      </c>
      <c r="AB37" s="3">
        <v>50</v>
      </c>
      <c r="AC37" s="3">
        <v>50</v>
      </c>
      <c r="AD37" s="3">
        <v>50</v>
      </c>
      <c r="AE37" s="3">
        <v>50</v>
      </c>
      <c r="AF37" s="3">
        <v>50</v>
      </c>
      <c r="AG37" s="3">
        <v>50</v>
      </c>
      <c r="AH37" s="3">
        <v>0</v>
      </c>
    </row>
    <row r="38" spans="6:136" x14ac:dyDescent="0.3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6:136" x14ac:dyDescent="0.3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6:136" x14ac:dyDescent="0.3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6:136" x14ac:dyDescent="0.3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6:136" x14ac:dyDescent="0.3">
      <c r="G42" s="12" t="s">
        <v>26</v>
      </c>
      <c r="H42" s="9">
        <v>0</v>
      </c>
      <c r="I42" s="8">
        <f t="shared" ref="I42:AH42" si="3">H42+$C$4</f>
        <v>6.9230769230769224E-3</v>
      </c>
      <c r="J42" s="8">
        <f t="shared" si="3"/>
        <v>1.3846153846153845E-2</v>
      </c>
      <c r="K42" s="8">
        <f t="shared" si="3"/>
        <v>2.0769230769230769E-2</v>
      </c>
      <c r="L42" s="8">
        <f t="shared" si="3"/>
        <v>2.769230769230769E-2</v>
      </c>
      <c r="M42" s="8">
        <f t="shared" si="3"/>
        <v>3.461538461538461E-2</v>
      </c>
      <c r="N42" s="8">
        <f t="shared" si="3"/>
        <v>4.1538461538461531E-2</v>
      </c>
      <c r="O42" s="8">
        <f t="shared" si="3"/>
        <v>4.8461538461538452E-2</v>
      </c>
      <c r="P42" s="8">
        <f t="shared" si="3"/>
        <v>5.5384615384615372E-2</v>
      </c>
      <c r="Q42" s="8">
        <f t="shared" si="3"/>
        <v>6.2307692307692293E-2</v>
      </c>
      <c r="R42" s="8">
        <f t="shared" si="3"/>
        <v>6.9230769230769221E-2</v>
      </c>
      <c r="S42" s="8">
        <f t="shared" si="3"/>
        <v>7.6153846153846141E-2</v>
      </c>
      <c r="T42" s="8">
        <f t="shared" si="3"/>
        <v>8.3076923076923062E-2</v>
      </c>
      <c r="U42" s="8">
        <f t="shared" si="3"/>
        <v>8.9999999999999983E-2</v>
      </c>
      <c r="V42" s="8">
        <f t="shared" si="3"/>
        <v>9.6923076923076903E-2</v>
      </c>
      <c r="W42" s="8">
        <f t="shared" si="3"/>
        <v>0.10384615384615382</v>
      </c>
      <c r="X42" s="8">
        <f t="shared" si="3"/>
        <v>0.11076923076923074</v>
      </c>
      <c r="Y42" s="8">
        <f t="shared" si="3"/>
        <v>0.11769230769230767</v>
      </c>
      <c r="Z42" s="8">
        <f t="shared" si="3"/>
        <v>0.12461538461538459</v>
      </c>
      <c r="AA42" s="8">
        <f t="shared" si="3"/>
        <v>0.13153846153846152</v>
      </c>
      <c r="AB42" s="8">
        <f t="shared" si="3"/>
        <v>0.13846153846153844</v>
      </c>
      <c r="AC42" s="8">
        <f t="shared" si="3"/>
        <v>0.14538461538461536</v>
      </c>
      <c r="AD42" s="8">
        <f t="shared" si="3"/>
        <v>0.15230769230769228</v>
      </c>
      <c r="AE42" s="8">
        <f t="shared" si="3"/>
        <v>0.1592307692307692</v>
      </c>
      <c r="AF42" s="8">
        <f t="shared" si="3"/>
        <v>0.16615384615384612</v>
      </c>
      <c r="AG42" s="8">
        <f t="shared" si="3"/>
        <v>0.17307692307692304</v>
      </c>
      <c r="AH42" s="8">
        <f t="shared" si="3"/>
        <v>0.17999999999999997</v>
      </c>
      <c r="AI42"/>
      <c r="AJ42"/>
      <c r="AK42"/>
      <c r="AL42"/>
    </row>
    <row r="43" spans="6:136" x14ac:dyDescent="0.3">
      <c r="G43" s="13"/>
      <c r="H43" s="3">
        <v>0</v>
      </c>
      <c r="I43" s="3">
        <v>100</v>
      </c>
      <c r="J43" s="3">
        <v>100</v>
      </c>
      <c r="K43" s="3">
        <v>100</v>
      </c>
      <c r="L43" s="3">
        <v>100</v>
      </c>
      <c r="M43" s="3">
        <v>100</v>
      </c>
      <c r="N43" s="3">
        <v>100</v>
      </c>
      <c r="O43" s="3">
        <v>100</v>
      </c>
      <c r="P43" s="3">
        <v>100</v>
      </c>
      <c r="Q43" s="3">
        <v>100</v>
      </c>
      <c r="R43" s="3">
        <v>100</v>
      </c>
      <c r="S43" s="3">
        <v>100</v>
      </c>
      <c r="T43" s="3">
        <v>100</v>
      </c>
      <c r="U43" s="3">
        <v>100</v>
      </c>
      <c r="V43" s="3">
        <v>100</v>
      </c>
      <c r="W43" s="3">
        <v>100</v>
      </c>
      <c r="X43" s="3">
        <v>100</v>
      </c>
      <c r="Y43" s="3">
        <v>100</v>
      </c>
      <c r="Z43" s="3">
        <v>100</v>
      </c>
      <c r="AA43" s="3">
        <v>100</v>
      </c>
      <c r="AB43" s="3">
        <v>100</v>
      </c>
      <c r="AC43" s="3">
        <v>100</v>
      </c>
      <c r="AD43" s="3">
        <v>100</v>
      </c>
      <c r="AE43" s="3">
        <v>100</v>
      </c>
      <c r="AF43" s="3">
        <v>100</v>
      </c>
      <c r="AG43" s="3">
        <v>100</v>
      </c>
      <c r="AH43" s="3">
        <v>0</v>
      </c>
      <c r="AI43"/>
      <c r="AJ43"/>
      <c r="AK43"/>
      <c r="AL43"/>
      <c r="AO43" s="19" t="s">
        <v>27</v>
      </c>
      <c r="AP43" s="3">
        <f>-$C$10*$C$9/$C$6*H11</f>
        <v>0</v>
      </c>
      <c r="AQ43" s="3">
        <f t="shared" ref="AQ43:BP43" si="4">-$C$10*$C$9/$C$6*I11</f>
        <v>-358800000</v>
      </c>
      <c r="AR43" s="3">
        <f t="shared" si="4"/>
        <v>-358800000</v>
      </c>
      <c r="AS43" s="3">
        <f t="shared" si="4"/>
        <v>-358800000</v>
      </c>
      <c r="AT43" s="3">
        <f t="shared" si="4"/>
        <v>-358800000</v>
      </c>
      <c r="AU43" s="3">
        <f t="shared" si="4"/>
        <v>-358800000</v>
      </c>
      <c r="AV43" s="3">
        <f t="shared" si="4"/>
        <v>-358800000</v>
      </c>
      <c r="AW43" s="3">
        <f t="shared" si="4"/>
        <v>-358800000</v>
      </c>
      <c r="AX43" s="3">
        <f t="shared" si="4"/>
        <v>-358800000</v>
      </c>
      <c r="AY43" s="3">
        <f t="shared" si="4"/>
        <v>-358800000</v>
      </c>
      <c r="AZ43" s="3">
        <f t="shared" si="4"/>
        <v>-358800000</v>
      </c>
      <c r="BA43" s="3">
        <f t="shared" si="4"/>
        <v>-358800000</v>
      </c>
      <c r="BB43" s="3">
        <f t="shared" si="4"/>
        <v>-358800000</v>
      </c>
      <c r="BC43" s="3">
        <f t="shared" si="4"/>
        <v>-358800000</v>
      </c>
      <c r="BD43" s="3">
        <f t="shared" si="4"/>
        <v>-358800000</v>
      </c>
      <c r="BE43" s="3">
        <f t="shared" si="4"/>
        <v>-358800000</v>
      </c>
      <c r="BF43" s="3">
        <f t="shared" si="4"/>
        <v>-358800000</v>
      </c>
      <c r="BG43" s="3">
        <f t="shared" si="4"/>
        <v>-358800000</v>
      </c>
      <c r="BH43" s="3">
        <f t="shared" si="4"/>
        <v>-358800000</v>
      </c>
      <c r="BI43" s="3">
        <f t="shared" si="4"/>
        <v>-358800000</v>
      </c>
      <c r="BJ43" s="3">
        <f t="shared" si="4"/>
        <v>-358800000</v>
      </c>
      <c r="BK43" s="3">
        <f t="shared" si="4"/>
        <v>-358800000</v>
      </c>
      <c r="BL43" s="3">
        <f t="shared" si="4"/>
        <v>-358800000</v>
      </c>
      <c r="BM43" s="3">
        <f t="shared" si="4"/>
        <v>-358800000</v>
      </c>
      <c r="BN43" s="3">
        <f t="shared" si="4"/>
        <v>-358800000</v>
      </c>
      <c r="BO43" s="3">
        <f t="shared" si="4"/>
        <v>-358800000</v>
      </c>
      <c r="BP43" s="3">
        <f t="shared" si="4"/>
        <v>0</v>
      </c>
      <c r="BW43" s="19" t="s">
        <v>28</v>
      </c>
      <c r="BX43" s="3">
        <v>1</v>
      </c>
      <c r="BY43" s="3">
        <v>1</v>
      </c>
      <c r="BZ43" s="3">
        <v>1</v>
      </c>
      <c r="CA43" s="3">
        <v>1</v>
      </c>
      <c r="CB43" s="3">
        <v>1</v>
      </c>
      <c r="CC43" s="3">
        <v>1</v>
      </c>
      <c r="CD43" s="3">
        <v>1</v>
      </c>
      <c r="CE43" s="3">
        <v>1</v>
      </c>
      <c r="CF43" s="3">
        <v>1</v>
      </c>
      <c r="CG43" s="3">
        <v>1</v>
      </c>
      <c r="CH43" s="3">
        <v>1</v>
      </c>
      <c r="CI43" s="3">
        <v>1</v>
      </c>
      <c r="CJ43" s="3">
        <v>1</v>
      </c>
      <c r="CK43" s="3">
        <v>1</v>
      </c>
      <c r="CL43" s="3">
        <v>1</v>
      </c>
      <c r="CM43" s="3">
        <v>1</v>
      </c>
      <c r="CN43" s="3">
        <v>1</v>
      </c>
      <c r="CO43" s="3">
        <v>1</v>
      </c>
      <c r="CP43" s="3">
        <v>1</v>
      </c>
      <c r="CQ43" s="3">
        <v>1</v>
      </c>
      <c r="CR43" s="3">
        <v>1</v>
      </c>
      <c r="CS43" s="3">
        <v>1</v>
      </c>
      <c r="CT43" s="3">
        <v>1</v>
      </c>
      <c r="CU43" s="3">
        <v>1</v>
      </c>
      <c r="CV43" s="3">
        <v>1</v>
      </c>
      <c r="CW43" s="3">
        <v>1</v>
      </c>
      <c r="CX43" s="3">
        <v>1</v>
      </c>
      <c r="DE43" s="19" t="s">
        <v>29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</row>
    <row r="44" spans="6:136" x14ac:dyDescent="0.3">
      <c r="G44" s="13"/>
      <c r="H44" s="3">
        <v>0</v>
      </c>
      <c r="I44" s="3">
        <f t="shared" ref="I44:I68" si="5">J44*BY44+DG44</f>
        <v>50.364021584115214</v>
      </c>
      <c r="J44" s="3">
        <f t="shared" ref="J44:J68" si="6">K44*BZ44+DH44</f>
        <v>69.068271902466691</v>
      </c>
      <c r="K44" s="3">
        <f t="shared" ref="K44:K68" si="7">L44*CA44+DI44</f>
        <v>78.358185751267911</v>
      </c>
      <c r="L44" s="3">
        <f t="shared" ref="L44:L68" si="8">M44*CB44+DJ44</f>
        <v>83.449774792491922</v>
      </c>
      <c r="M44" s="3">
        <f t="shared" ref="M44:M68" si="9">N44*CC44+DK44</f>
        <v>86.492704004413199</v>
      </c>
      <c r="N44" s="3">
        <f t="shared" ref="N44:N68" si="10">O44*CD44+DL44</f>
        <v>88.438074225801785</v>
      </c>
      <c r="O44" s="3">
        <f t="shared" ref="O44:O68" si="11">P44*CE44+DM44</f>
        <v>89.740011477405758</v>
      </c>
      <c r="P44" s="3">
        <f t="shared" ref="P44:P68" si="12">Q44*CF44+DN44</f>
        <v>90.632502965340123</v>
      </c>
      <c r="Q44" s="3">
        <f t="shared" ref="Q44:Q68" si="13">R44*CG44+DO44</f>
        <v>91.244848263124211</v>
      </c>
      <c r="R44" s="3">
        <f t="shared" ref="R44:R68" si="14">S44*CH44+DP44</f>
        <v>91.652717131489624</v>
      </c>
      <c r="S44" s="3">
        <f t="shared" ref="S44:S68" si="15">T44*CI44+DQ44</f>
        <v>91.902046641692621</v>
      </c>
      <c r="T44" s="3">
        <f t="shared" ref="T44:T68" si="16">U44*CJ44+DR44</f>
        <v>92.020739855353042</v>
      </c>
      <c r="U44" s="3">
        <f t="shared" ref="U44:U68" si="17">V44*CK44+DS44</f>
        <v>92.02446100220682</v>
      </c>
      <c r="V44" s="3">
        <f t="shared" ref="V44:V68" si="18">W44*CL44+DT44</f>
        <v>91.919260934204971</v>
      </c>
      <c r="W44" s="3">
        <f t="shared" ref="W44:W68" si="19">X44*CM44+DU44</f>
        <v>91.702175649254627</v>
      </c>
      <c r="X44" s="3">
        <f t="shared" ref="X44:X68" si="20">Y44*CN44+DV44</f>
        <v>91.360090840582259</v>
      </c>
      <c r="Y44" s="3">
        <f t="shared" ref="Y44:Y68" si="21">Z44*CO44+DW44</f>
        <v>90.866492262984849</v>
      </c>
      <c r="Z44" s="3">
        <f t="shared" ref="Z44:Z68" si="22">AA44*CP44+DX44</f>
        <v>90.174812437464695</v>
      </c>
      <c r="AA44" s="3">
        <f t="shared" ref="AA44:AA68" si="23">AB44*CQ44+DY44</f>
        <v>89.205325887173899</v>
      </c>
      <c r="AB44" s="3">
        <f t="shared" ref="AB44:AB68" si="24">AC44*CR44+DZ44</f>
        <v>87.818561746890992</v>
      </c>
      <c r="AC44" s="3">
        <f t="shared" ref="AC44:AC68" si="25">AD44*CS44+EA44</f>
        <v>85.758452983311798</v>
      </c>
      <c r="AD44" s="3">
        <f t="shared" ref="AD44:AD68" si="26">AE44*CT44+EB44</f>
        <v>82.523296070079709</v>
      </c>
      <c r="AE44" s="3">
        <f t="shared" ref="AE44:AE68" si="27">AF44*CU44+EC44</f>
        <v>77.054920494873784</v>
      </c>
      <c r="AF44" s="3">
        <f t="shared" ref="AF44:AF68" si="28">AG44*CV44+ED44</f>
        <v>66.947585611218216</v>
      </c>
      <c r="AG44" s="3">
        <f t="shared" ref="AG44:AG68" si="29">AH44*CW44+EE44</f>
        <v>46.33426712372524</v>
      </c>
      <c r="AH44" s="3">
        <v>0</v>
      </c>
      <c r="AI44"/>
      <c r="AJ44"/>
      <c r="AK44"/>
      <c r="AL44"/>
      <c r="AO44" s="19"/>
      <c r="AP44" s="3">
        <f t="shared" ref="AP44:AP69" si="30">-$C$10*$C$9/$C$6*H12</f>
        <v>0</v>
      </c>
      <c r="AQ44" s="3">
        <f t="shared" ref="AQ44:AQ69" si="31">-$C$10*$C$9/$C$6*I12</f>
        <v>-202668330.44542998</v>
      </c>
      <c r="AR44" s="3">
        <f t="shared" ref="AR44:AR69" si="32">-$C$10*$C$9/$C$6*J12</f>
        <v>-256852398.06929541</v>
      </c>
      <c r="AS44" s="3">
        <f t="shared" ref="AS44:AS69" si="33">-$C$10*$C$9/$C$6*K12</f>
        <v>-285178525.66741407</v>
      </c>
      <c r="AT44" s="3">
        <f t="shared" ref="AT44:AT69" si="34">-$C$10*$C$9/$C$6*L12</f>
        <v>-301383999.54965848</v>
      </c>
      <c r="AU44" s="3">
        <f t="shared" ref="AU44:AU69" si="35">-$C$10*$C$9/$C$6*M12</f>
        <v>-311389207.59652603</v>
      </c>
      <c r="AV44" s="3">
        <f t="shared" ref="AV44:AV69" si="36">-$C$10*$C$9/$C$6*N12</f>
        <v>-317933347.10083175</v>
      </c>
      <c r="AW44" s="3">
        <f t="shared" ref="AW44:AW69" si="37">-$C$10*$C$9/$C$6*O12</f>
        <v>-322380128.01633525</v>
      </c>
      <c r="AX44" s="3">
        <f t="shared" ref="AX44:AX69" si="38">-$C$10*$C$9/$C$6*P12</f>
        <v>-325458291.81028587</v>
      </c>
      <c r="AY44" s="3">
        <f t="shared" ref="AY44:AY69" si="39">-$C$10*$C$9/$C$6*Q12</f>
        <v>-327582762.45232433</v>
      </c>
      <c r="AZ44" s="3">
        <f t="shared" ref="AZ44:AZ69" si="40">-$C$10*$C$9/$C$6*R12</f>
        <v>-329002107.70610017</v>
      </c>
      <c r="BA44" s="3">
        <f t="shared" ref="BA44:BA69" si="41">-$C$10*$C$9/$C$6*S12</f>
        <v>-329869921.93919826</v>
      </c>
      <c r="BB44" s="3">
        <f t="shared" ref="BB44:BB69" si="42">-$C$10*$C$9/$C$6*T12</f>
        <v>-330280759.39697647</v>
      </c>
      <c r="BC44" s="3">
        <f t="shared" ref="BC44:BC69" si="43">-$C$10*$C$9/$C$6*U12</f>
        <v>-330288303.54805237</v>
      </c>
      <c r="BD44" s="3">
        <f t="shared" ref="BD44:BD69" si="44">-$C$10*$C$9/$C$6*V12</f>
        <v>-329913690.41421843</v>
      </c>
      <c r="BE44" s="3">
        <f t="shared" ref="BE44:BE69" si="45">-$C$10*$C$9/$C$6*W12</f>
        <v>-329147374.90821886</v>
      </c>
      <c r="BF44" s="3">
        <f t="shared" ref="BF44:BF69" si="46">-$C$10*$C$9/$C$6*X12</f>
        <v>-327945421.74337006</v>
      </c>
      <c r="BG44" s="3">
        <f t="shared" ref="BG44:BG69" si="47">-$C$10*$C$9/$C$6*Y12</f>
        <v>-326219083.32864541</v>
      </c>
      <c r="BH44" s="3">
        <f t="shared" ref="BH44:BH69" si="48">-$C$10*$C$9/$C$6*Z12</f>
        <v>-323813852.88715017</v>
      </c>
      <c r="BI44" s="3">
        <f t="shared" ref="BI44:BI69" si="49">-$C$10*$C$9/$C$6*AA12</f>
        <v>-320469192.7380687</v>
      </c>
      <c r="BJ44" s="3">
        <f t="shared" ref="BJ44:BJ69" si="50">-$C$10*$C$9/$C$6*AB12</f>
        <v>-315739244.12827766</v>
      </c>
      <c r="BK44" s="3">
        <f t="shared" ref="BK44:BK69" si="51">-$C$10*$C$9/$C$6*AC12</f>
        <v>-308829085.39244395</v>
      </c>
      <c r="BL44" s="3">
        <f t="shared" ref="BL44:BL69" si="52">-$C$10*$C$9/$C$6*AD12</f>
        <v>-298236924.80292559</v>
      </c>
      <c r="BM44" s="3">
        <f t="shared" ref="BM44:BM69" si="53">-$C$10*$C$9/$C$6*AE12</f>
        <v>-280925310.24966735</v>
      </c>
      <c r="BN44" s="3">
        <f t="shared" ref="BN44:BN69" si="54">-$C$10*$C$9/$C$6*AF12</f>
        <v>-250291087.36270925</v>
      </c>
      <c r="BO44" s="3">
        <f t="shared" ref="BO44:BO69" si="55">-$C$10*$C$9/$C$6*AG12</f>
        <v>-190933110.27919403</v>
      </c>
      <c r="BP44" s="3">
        <f t="shared" ref="BP44:BP69" si="56">-$C$10*$C$9/$C$6*AH12</f>
        <v>0</v>
      </c>
      <c r="BW44" s="19"/>
      <c r="BX44" s="3">
        <f t="shared" ref="BX44:BX68" si="57">$C$19/($C$20-$C$21*BW44)</f>
        <v>0.17426273458445043</v>
      </c>
      <c r="BY44" s="3">
        <f t="shared" ref="BY44:CW44" si="58">$C$19/($C$20-$C$21*BX44)</f>
        <v>0.17972039376148968</v>
      </c>
      <c r="BZ44" s="3">
        <f t="shared" si="58"/>
        <v>0.17989684606081083</v>
      </c>
      <c r="CA44" s="3">
        <f t="shared" si="58"/>
        <v>0.179902556745832</v>
      </c>
      <c r="CB44" s="3">
        <f t="shared" si="58"/>
        <v>0.17990274157194241</v>
      </c>
      <c r="CC44" s="3">
        <f t="shared" si="58"/>
        <v>0.17990274755383903</v>
      </c>
      <c r="CD44" s="3">
        <f t="shared" si="58"/>
        <v>0.17990274774744311</v>
      </c>
      <c r="CE44" s="3">
        <f t="shared" si="58"/>
        <v>0.1799027477537091</v>
      </c>
      <c r="CF44" s="3">
        <f t="shared" si="58"/>
        <v>0.17990274775391188</v>
      </c>
      <c r="CG44" s="3">
        <f t="shared" si="58"/>
        <v>0.17990274775391843</v>
      </c>
      <c r="CH44" s="3">
        <f t="shared" si="58"/>
        <v>0.17990274775391865</v>
      </c>
      <c r="CI44" s="3">
        <f t="shared" si="58"/>
        <v>0.17990274775391865</v>
      </c>
      <c r="CJ44" s="3">
        <f t="shared" si="58"/>
        <v>0.17990274775391865</v>
      </c>
      <c r="CK44" s="3">
        <f t="shared" si="58"/>
        <v>0.17990274775391865</v>
      </c>
      <c r="CL44" s="3">
        <f t="shared" si="58"/>
        <v>0.17990274775391865</v>
      </c>
      <c r="CM44" s="3">
        <f t="shared" si="58"/>
        <v>0.17990274775391865</v>
      </c>
      <c r="CN44" s="3">
        <f t="shared" si="58"/>
        <v>0.17990274775391865</v>
      </c>
      <c r="CO44" s="3">
        <f t="shared" si="58"/>
        <v>0.17990274775391865</v>
      </c>
      <c r="CP44" s="3">
        <f t="shared" si="58"/>
        <v>0.17990274775391865</v>
      </c>
      <c r="CQ44" s="3">
        <f t="shared" si="58"/>
        <v>0.17990274775391865</v>
      </c>
      <c r="CR44" s="3">
        <f t="shared" si="58"/>
        <v>0.17990274775391865</v>
      </c>
      <c r="CS44" s="3">
        <f t="shared" si="58"/>
        <v>0.17990274775391865</v>
      </c>
      <c r="CT44" s="3">
        <f t="shared" si="58"/>
        <v>0.17990274775391865</v>
      </c>
      <c r="CU44" s="3">
        <f t="shared" si="58"/>
        <v>0.17990274775391865</v>
      </c>
      <c r="CV44" s="3">
        <f t="shared" si="58"/>
        <v>0.17990274775391865</v>
      </c>
      <c r="CW44" s="3">
        <f t="shared" si="58"/>
        <v>0.17990274775391865</v>
      </c>
      <c r="CX44" s="3">
        <v>0</v>
      </c>
      <c r="DE44" s="19"/>
      <c r="DF44" s="3">
        <f t="shared" ref="DF44:DG69" si="59">(DE44*$C$21-AP44)/($C$20-$C$21*BW44)</f>
        <v>0</v>
      </c>
      <c r="DG44" s="3">
        <f t="shared" si="59"/>
        <v>37.951044561378268</v>
      </c>
      <c r="DH44" s="3">
        <f t="shared" ref="DH44:DH68" si="60">(DG44*$C$21-AR44)/($C$20-$C$21*BY44)</f>
        <v>54.971881422766423</v>
      </c>
      <c r="DI44" s="3">
        <f t="shared" ref="DI44:DI68" si="61">(DH44*$C$21-AS44)/($C$20-$C$21*BZ44)</f>
        <v>63.345357906234725</v>
      </c>
      <c r="DJ44" s="3">
        <f t="shared" ref="DJ44:DJ68" si="62">(DI44*$C$21-AT44)/($C$20-$C$21*CA44)</f>
        <v>67.889500216127473</v>
      </c>
      <c r="DK44" s="3">
        <f t="shared" ref="DK44:DK68" si="63">(DJ44*$C$21-AU44)/($C$20-$C$21*CB44)</f>
        <v>70.582451462821098</v>
      </c>
      <c r="DL44" s="3">
        <f t="shared" ref="DL44:DL68" si="64">(DK44*$C$21-AV44)/($C$20-$C$21*CC44)</f>
        <v>72.293599578129403</v>
      </c>
      <c r="DM44" s="3">
        <f t="shared" ref="DM44:DM68" si="65">(DL44*$C$21-AW44)/($C$20-$C$21*CD44)</f>
        <v>73.43497515814488</v>
      </c>
      <c r="DN44" s="3">
        <f t="shared" ref="DN44:DN68" si="66">(DM44*$C$21-AX44)/($C$20-$C$21*CE44)</f>
        <v>74.217304044415329</v>
      </c>
      <c r="DO44" s="3">
        <f t="shared" ref="DO44:DO68" si="67">(DN44*$C$21-AY44)/($C$20-$C$21*CF44)</f>
        <v>74.756272612056591</v>
      </c>
      <c r="DP44" s="3">
        <f t="shared" ref="DP44:DP68" si="68">(DO44*$C$21-AZ44)/($C$20-$C$21*CG44)</f>
        <v>75.119286416440332</v>
      </c>
      <c r="DQ44" s="3">
        <f t="shared" ref="DQ44:DQ68" si="69">(DP44*$C$21-BA44)/($C$20-$C$21*CH44)</f>
        <v>75.347262691366069</v>
      </c>
      <c r="DR44" s="3">
        <f t="shared" ref="DR44:DR68" si="70">(DQ44*$C$21-BB44)/($C$20-$C$21*CI44)</f>
        <v>75.465286460482702</v>
      </c>
      <c r="DS44" s="3">
        <f t="shared" ref="DS44:DS68" si="71">(DR44*$C$21-BC44)/($C$20-$C$21*CJ44)</f>
        <v>75.48793338863392</v>
      </c>
      <c r="DT44" s="3">
        <f t="shared" ref="DT44:DT68" si="72">(DS44*$C$21-BD44)/($C$20-$C$21*CK44)</f>
        <v>75.42178755989157</v>
      </c>
      <c r="DU44" s="3">
        <f t="shared" ref="DU44:DU68" si="73">(DT44*$C$21-BE44)/($C$20-$C$21*CL44)</f>
        <v>75.266244271986267</v>
      </c>
      <c r="DV44" s="3">
        <f t="shared" ref="DV44:DV68" si="74">(DU44*$C$21-BF44)/($C$20-$C$21*CM44)</f>
        <v>75.012959203711091</v>
      </c>
      <c r="DW44" s="3">
        <f t="shared" ref="DW44:DW68" si="75">(DV44*$C$21-BG44)/($C$20-$C$21*CN44)</f>
        <v>74.643795727290708</v>
      </c>
      <c r="DX44" s="3">
        <f t="shared" ref="DX44:DX68" si="76">(DW44*$C$21-BH44)/($C$20-$C$21*CO44)</f>
        <v>74.126529196078337</v>
      </c>
      <c r="DY44" s="3">
        <f t="shared" ref="DY44:DY68" si="77">(DX44*$C$21-BI44)/($C$20-$C$21*CP44)</f>
        <v>73.406525325111033</v>
      </c>
      <c r="DZ44" s="3">
        <f t="shared" ref="DZ44:DZ68" si="78">(DY44*$C$21-BJ44)/($C$20-$C$21*CQ44)</f>
        <v>72.390380412067955</v>
      </c>
      <c r="EA44" s="3">
        <f t="shared" ref="EA44:EA68" si="79">(DZ44*$C$21-BK44)/($C$20-$C$21*CR44)</f>
        <v>70.91228526659431</v>
      </c>
      <c r="EB44" s="3">
        <f t="shared" ref="EB44:EB68" si="80">(EA44*$C$21-BL44)/($C$20-$C$21*CS44)</f>
        <v>68.660904145092175</v>
      </c>
      <c r="EC44" s="3">
        <f t="shared" ref="EC44:EC68" si="81">(EB44*$C$21-BM44)/($C$20-$C$21*CT44)</f>
        <v>65.010865887924922</v>
      </c>
      <c r="ED44" s="3">
        <f t="shared" ref="ED44:ED68" si="82">(EC44*$C$21-BN44)/($C$20-$C$21*CU44)</f>
        <v>58.611923640495988</v>
      </c>
      <c r="EE44" s="3">
        <f t="shared" ref="EE44:EE68" si="83">(ED44*$C$21-BO44)/($C$20-$C$21*CV44)</f>
        <v>46.33426712372524</v>
      </c>
      <c r="EF44" s="3">
        <v>0</v>
      </c>
    </row>
    <row r="45" spans="6:136" x14ac:dyDescent="0.3">
      <c r="G45" s="13"/>
      <c r="H45" s="3">
        <v>0</v>
      </c>
      <c r="I45" s="3">
        <f t="shared" si="5"/>
        <v>33.234422536400217</v>
      </c>
      <c r="J45" s="3">
        <f t="shared" si="6"/>
        <v>50.877805469982761</v>
      </c>
      <c r="K45" s="3">
        <f t="shared" si="7"/>
        <v>62.113048877101903</v>
      </c>
      <c r="L45" s="3">
        <f t="shared" si="8"/>
        <v>69.405517298673885</v>
      </c>
      <c r="M45" s="3">
        <f t="shared" si="9"/>
        <v>74.273746323475478</v>
      </c>
      <c r="N45" s="3">
        <f t="shared" si="10"/>
        <v>77.611570753429149</v>
      </c>
      <c r="O45" s="3">
        <f t="shared" si="11"/>
        <v>79.944418254269877</v>
      </c>
      <c r="P45" s="3">
        <f t="shared" si="12"/>
        <v>81.58691541123406</v>
      </c>
      <c r="Q45" s="3">
        <f t="shared" si="13"/>
        <v>82.732451846296087</v>
      </c>
      <c r="R45" s="3">
        <f t="shared" si="14"/>
        <v>83.50287591528226</v>
      </c>
      <c r="S45" s="3">
        <f t="shared" si="15"/>
        <v>83.975978531693471</v>
      </c>
      <c r="T45" s="3">
        <f t="shared" si="16"/>
        <v>84.20065620276425</v>
      </c>
      <c r="U45" s="3">
        <f t="shared" si="17"/>
        <v>84.205049296571516</v>
      </c>
      <c r="V45" s="3">
        <f t="shared" si="18"/>
        <v>84.000393725611076</v>
      </c>
      <c r="W45" s="3">
        <f t="shared" si="19"/>
        <v>83.581871737022993</v>
      </c>
      <c r="X45" s="3">
        <f t="shared" si="20"/>
        <v>82.926812501201852</v>
      </c>
      <c r="Y45" s="3">
        <f t="shared" si="21"/>
        <v>81.989794381121911</v>
      </c>
      <c r="Z45" s="3">
        <f t="shared" si="22"/>
        <v>80.693215511062235</v>
      </c>
      <c r="AA45" s="3">
        <f t="shared" si="23"/>
        <v>78.910324693817429</v>
      </c>
      <c r="AB45" s="3">
        <f t="shared" si="24"/>
        <v>76.434904394457234</v>
      </c>
      <c r="AC45" s="3">
        <f t="shared" si="25"/>
        <v>72.926764806079021</v>
      </c>
      <c r="AD45" s="3">
        <f t="shared" si="26"/>
        <v>67.813765770799947</v>
      </c>
      <c r="AE45" s="3">
        <f t="shared" si="27"/>
        <v>60.11997773800671</v>
      </c>
      <c r="AF45" s="3">
        <f t="shared" si="28"/>
        <v>48.188810343276678</v>
      </c>
      <c r="AG45" s="3">
        <f t="shared" si="29"/>
        <v>29.347350170267362</v>
      </c>
      <c r="AH45" s="3">
        <v>0</v>
      </c>
      <c r="AI45"/>
      <c r="AJ45"/>
      <c r="AK45"/>
      <c r="AL45"/>
      <c r="AO45" s="19"/>
      <c r="AP45" s="3">
        <f t="shared" si="30"/>
        <v>0</v>
      </c>
      <c r="AQ45" s="3">
        <f t="shared" si="31"/>
        <v>-128650225.94578627</v>
      </c>
      <c r="AR45" s="3">
        <f t="shared" si="32"/>
        <v>-188699797.71502984</v>
      </c>
      <c r="AS45" s="3">
        <f t="shared" si="33"/>
        <v>-226645709.83247909</v>
      </c>
      <c r="AT45" s="3">
        <f t="shared" si="34"/>
        <v>-251353667.31091261</v>
      </c>
      <c r="AU45" s="3">
        <f t="shared" si="35"/>
        <v>-267963012.34200624</v>
      </c>
      <c r="AV45" s="3">
        <f t="shared" si="36"/>
        <v>-279434845.57280052</v>
      </c>
      <c r="AW45" s="3">
        <f t="shared" si="37"/>
        <v>-287503138.56956685</v>
      </c>
      <c r="AX45" s="3">
        <f t="shared" si="38"/>
        <v>-293210812.08218277</v>
      </c>
      <c r="AY45" s="3">
        <f t="shared" si="39"/>
        <v>-297204052.47560596</v>
      </c>
      <c r="AZ45" s="3">
        <f t="shared" si="40"/>
        <v>-299893673.96580034</v>
      </c>
      <c r="BA45" s="3">
        <f t="shared" si="41"/>
        <v>-301544237.57975036</v>
      </c>
      <c r="BB45" s="3">
        <f t="shared" si="42"/>
        <v>-302323373.25843745</v>
      </c>
      <c r="BC45" s="3">
        <f t="shared" si="43"/>
        <v>-302328351.97732139</v>
      </c>
      <c r="BD45" s="3">
        <f t="shared" si="44"/>
        <v>-301598671.64189225</v>
      </c>
      <c r="BE45" s="3">
        <f t="shared" si="45"/>
        <v>-300118773.14552367</v>
      </c>
      <c r="BF45" s="3">
        <f t="shared" si="46"/>
        <v>-297812014.16372311</v>
      </c>
      <c r="BG45" s="3">
        <f t="shared" si="47"/>
        <v>-294524471.77901387</v>
      </c>
      <c r="BH45" s="3">
        <f t="shared" si="48"/>
        <v>-289993996.64596504</v>
      </c>
      <c r="BI45" s="3">
        <f t="shared" si="49"/>
        <v>-283794902.30931389</v>
      </c>
      <c r="BJ45" s="3">
        <f t="shared" si="50"/>
        <v>-275239592.49235284</v>
      </c>
      <c r="BK45" s="3">
        <f t="shared" si="51"/>
        <v>-263201500.93164456</v>
      </c>
      <c r="BL45" s="3">
        <f t="shared" si="52"/>
        <v>-245792711.79139262</v>
      </c>
      <c r="BM45" s="3">
        <f t="shared" si="53"/>
        <v>-219777318.0449183</v>
      </c>
      <c r="BN45" s="3">
        <f t="shared" si="54"/>
        <v>-179533626.33369443</v>
      </c>
      <c r="BO45" s="3">
        <f t="shared" si="55"/>
        <v>-115381352.76137413</v>
      </c>
      <c r="BP45" s="3">
        <f t="shared" si="56"/>
        <v>0</v>
      </c>
      <c r="BW45" s="19"/>
      <c r="BX45" s="3">
        <f t="shared" si="57"/>
        <v>0.17426273458445043</v>
      </c>
      <c r="BY45" s="3">
        <f t="shared" ref="BY45:CW45" si="84">$C$19/($C$20-$C$21*BX45)</f>
        <v>0.17972039376148968</v>
      </c>
      <c r="BZ45" s="3">
        <f t="shared" si="84"/>
        <v>0.17989684606081083</v>
      </c>
      <c r="CA45" s="3">
        <f t="shared" si="84"/>
        <v>0.179902556745832</v>
      </c>
      <c r="CB45" s="3">
        <f t="shared" si="84"/>
        <v>0.17990274157194241</v>
      </c>
      <c r="CC45" s="3">
        <f t="shared" si="84"/>
        <v>0.17990274755383903</v>
      </c>
      <c r="CD45" s="3">
        <f t="shared" si="84"/>
        <v>0.17990274774744311</v>
      </c>
      <c r="CE45" s="3">
        <f t="shared" si="84"/>
        <v>0.1799027477537091</v>
      </c>
      <c r="CF45" s="3">
        <f t="shared" si="84"/>
        <v>0.17990274775391188</v>
      </c>
      <c r="CG45" s="3">
        <f t="shared" si="84"/>
        <v>0.17990274775391843</v>
      </c>
      <c r="CH45" s="3">
        <f t="shared" si="84"/>
        <v>0.17990274775391865</v>
      </c>
      <c r="CI45" s="3">
        <f t="shared" si="84"/>
        <v>0.17990274775391865</v>
      </c>
      <c r="CJ45" s="3">
        <f t="shared" si="84"/>
        <v>0.17990274775391865</v>
      </c>
      <c r="CK45" s="3">
        <f t="shared" si="84"/>
        <v>0.17990274775391865</v>
      </c>
      <c r="CL45" s="3">
        <f t="shared" si="84"/>
        <v>0.17990274775391865</v>
      </c>
      <c r="CM45" s="3">
        <f t="shared" si="84"/>
        <v>0.17990274775391865</v>
      </c>
      <c r="CN45" s="3">
        <f t="shared" si="84"/>
        <v>0.17990274775391865</v>
      </c>
      <c r="CO45" s="3">
        <f t="shared" si="84"/>
        <v>0.17990274775391865</v>
      </c>
      <c r="CP45" s="3">
        <f t="shared" si="84"/>
        <v>0.17990274775391865</v>
      </c>
      <c r="CQ45" s="3">
        <f t="shared" si="84"/>
        <v>0.17990274775391865</v>
      </c>
      <c r="CR45" s="3">
        <f t="shared" si="84"/>
        <v>0.17990274775391865</v>
      </c>
      <c r="CS45" s="3">
        <f t="shared" si="84"/>
        <v>0.17990274775391865</v>
      </c>
      <c r="CT45" s="3">
        <f t="shared" si="84"/>
        <v>0.17990274775391865</v>
      </c>
      <c r="CU45" s="3">
        <f t="shared" si="84"/>
        <v>0.17990274775391865</v>
      </c>
      <c r="CV45" s="3">
        <f t="shared" si="84"/>
        <v>0.17990274775391865</v>
      </c>
      <c r="CW45" s="3">
        <f t="shared" si="84"/>
        <v>0.17990274775391865</v>
      </c>
      <c r="CX45" s="3">
        <v>0</v>
      </c>
      <c r="DE45" s="19"/>
      <c r="DF45" s="3">
        <f t="shared" si="59"/>
        <v>0</v>
      </c>
      <c r="DG45" s="3">
        <f t="shared" si="59"/>
        <v>24.090643303614442</v>
      </c>
      <c r="DH45" s="3">
        <f t="shared" si="60"/>
        <v>39.703863877771141</v>
      </c>
      <c r="DI45" s="3">
        <f t="shared" si="61"/>
        <v>49.626818862803397</v>
      </c>
      <c r="DJ45" s="3">
        <f t="shared" si="62"/>
        <v>56.043466708261661</v>
      </c>
      <c r="DK45" s="3">
        <f t="shared" si="63"/>
        <v>60.311211502964397</v>
      </c>
      <c r="DL45" s="3">
        <f t="shared" si="64"/>
        <v>63.229350242415144</v>
      </c>
      <c r="DM45" s="3">
        <f t="shared" si="65"/>
        <v>65.266707991039439</v>
      </c>
      <c r="DN45" s="3">
        <f t="shared" si="66"/>
        <v>66.703119995667194</v>
      </c>
      <c r="DO45" s="3">
        <f t="shared" si="67"/>
        <v>67.710055023782317</v>
      </c>
      <c r="DP45" s="3">
        <f t="shared" si="68"/>
        <v>68.395366632106516</v>
      </c>
      <c r="DQ45" s="3">
        <f t="shared" si="69"/>
        <v>68.828049118133151</v>
      </c>
      <c r="DR45" s="3">
        <f t="shared" si="70"/>
        <v>69.051936459556856</v>
      </c>
      <c r="DS45" s="3">
        <f t="shared" si="71"/>
        <v>69.093147652923051</v>
      </c>
      <c r="DT45" s="3">
        <f t="shared" si="72"/>
        <v>68.963785337705048</v>
      </c>
      <c r="DU45" s="3">
        <f t="shared" si="73"/>
        <v>68.663110305582762</v>
      </c>
      <c r="DV45" s="3">
        <f t="shared" si="74"/>
        <v>68.176623204259215</v>
      </c>
      <c r="DW45" s="3">
        <f t="shared" si="75"/>
        <v>67.472863185582682</v>
      </c>
      <c r="DX45" s="3">
        <f t="shared" si="76"/>
        <v>66.497031272490574</v>
      </c>
      <c r="DY45" s="3">
        <f t="shared" si="77"/>
        <v>65.159475368946502</v>
      </c>
      <c r="DZ45" s="3">
        <f t="shared" si="78"/>
        <v>63.315179021039853</v>
      </c>
      <c r="EA45" s="3">
        <f t="shared" si="79"/>
        <v>60.726882008371476</v>
      </c>
      <c r="EB45" s="3">
        <f t="shared" si="80"/>
        <v>56.998016580828121</v>
      </c>
      <c r="EC45" s="3">
        <f t="shared" si="81"/>
        <v>51.450678346258776</v>
      </c>
      <c r="ED45" s="3">
        <f t="shared" si="82"/>
        <v>42.90914140834915</v>
      </c>
      <c r="EE45" s="3">
        <f t="shared" si="83"/>
        <v>29.347350170267362</v>
      </c>
      <c r="EF45" s="3">
        <v>0</v>
      </c>
    </row>
    <row r="46" spans="6:136" x14ac:dyDescent="0.3">
      <c r="G46" s="13"/>
      <c r="H46" s="3">
        <v>0</v>
      </c>
      <c r="I46" s="3">
        <f t="shared" si="5"/>
        <v>23.813612579132634</v>
      </c>
      <c r="J46" s="3">
        <f t="shared" si="6"/>
        <v>38.928548503738497</v>
      </c>
      <c r="K46" s="3">
        <f t="shared" si="7"/>
        <v>49.98541278656301</v>
      </c>
      <c r="L46" s="3">
        <f t="shared" si="8"/>
        <v>57.958949959328407</v>
      </c>
      <c r="M46" s="3">
        <f t="shared" si="9"/>
        <v>63.711830877929643</v>
      </c>
      <c r="N46" s="3">
        <f t="shared" si="10"/>
        <v>67.882555628994595</v>
      </c>
      <c r="O46" s="3">
        <f t="shared" si="11"/>
        <v>70.914096120402533</v>
      </c>
      <c r="P46" s="3">
        <f t="shared" si="12"/>
        <v>73.10698426840294</v>
      </c>
      <c r="Q46" s="3">
        <f t="shared" si="13"/>
        <v>74.664322901588662</v>
      </c>
      <c r="R46" s="3">
        <f t="shared" si="14"/>
        <v>75.723576944217911</v>
      </c>
      <c r="S46" s="3">
        <f t="shared" si="15"/>
        <v>76.377327525256391</v>
      </c>
      <c r="T46" s="3">
        <f t="shared" si="16"/>
        <v>76.686140419699697</v>
      </c>
      <c r="U46" s="3">
        <f t="shared" si="17"/>
        <v>76.686028757750648</v>
      </c>
      <c r="V46" s="3">
        <f t="shared" si="18"/>
        <v>76.392116728122758</v>
      </c>
      <c r="W46" s="3">
        <f t="shared" si="19"/>
        <v>75.799370524186713</v>
      </c>
      <c r="X46" s="3">
        <f t="shared" si="20"/>
        <v>74.880653526076628</v>
      </c>
      <c r="Y46" s="3">
        <f t="shared" si="21"/>
        <v>73.581795586996279</v>
      </c>
      <c r="Z46" s="3">
        <f t="shared" si="22"/>
        <v>71.812736910379286</v>
      </c>
      <c r="AA46" s="3">
        <f t="shared" si="23"/>
        <v>69.433029216356047</v>
      </c>
      <c r="AB46" s="3">
        <f t="shared" si="24"/>
        <v>66.22906660237075</v>
      </c>
      <c r="AC46" s="3">
        <f t="shared" si="25"/>
        <v>61.879780174333142</v>
      </c>
      <c r="AD46" s="3">
        <f t="shared" si="26"/>
        <v>55.908835135107594</v>
      </c>
      <c r="AE46" s="3">
        <f t="shared" si="27"/>
        <v>47.63002426843309</v>
      </c>
      <c r="AF46" s="3">
        <f t="shared" si="28"/>
        <v>36.124152729092614</v>
      </c>
      <c r="AG46" s="3">
        <f t="shared" si="29"/>
        <v>20.381368923779615</v>
      </c>
      <c r="AH46" s="3">
        <v>0</v>
      </c>
      <c r="AI46"/>
      <c r="AJ46"/>
      <c r="AK46"/>
      <c r="AL46"/>
      <c r="AO46" s="19"/>
      <c r="AP46" s="3">
        <f t="shared" si="30"/>
        <v>0</v>
      </c>
      <c r="AQ46" s="3">
        <f t="shared" si="31"/>
        <v>-89809016.110647544</v>
      </c>
      <c r="AR46" s="3">
        <f t="shared" si="32"/>
        <v>-143570378.81452584</v>
      </c>
      <c r="AS46" s="3">
        <f t="shared" si="33"/>
        <v>-182306893.78850901</v>
      </c>
      <c r="AT46" s="3">
        <f t="shared" si="34"/>
        <v>-210087994.14788169</v>
      </c>
      <c r="AU46" s="3">
        <f t="shared" si="35"/>
        <v>-230116528.45500249</v>
      </c>
      <c r="AV46" s="3">
        <f t="shared" si="36"/>
        <v>-244655945.20603925</v>
      </c>
      <c r="AW46" s="3">
        <f t="shared" si="37"/>
        <v>-255244676.05502278</v>
      </c>
      <c r="AX46" s="3">
        <f t="shared" si="38"/>
        <v>-262917830.16344577</v>
      </c>
      <c r="AY46" s="3">
        <f t="shared" si="39"/>
        <v>-268373628.79398483</v>
      </c>
      <c r="AZ46" s="3">
        <f t="shared" si="40"/>
        <v>-272085377.27466947</v>
      </c>
      <c r="BA46" s="3">
        <f t="shared" si="41"/>
        <v>-274372906.16995215</v>
      </c>
      <c r="BB46" s="3">
        <f t="shared" si="42"/>
        <v>-275446363.12235093</v>
      </c>
      <c r="BC46" s="3">
        <f t="shared" si="43"/>
        <v>-275431446.99248034</v>
      </c>
      <c r="BD46" s="3">
        <f t="shared" si="44"/>
        <v>-274381721.8416245</v>
      </c>
      <c r="BE46" s="3">
        <f t="shared" si="45"/>
        <v>-272280992.91657317</v>
      </c>
      <c r="BF46" s="3">
        <f t="shared" si="46"/>
        <v>-269036626.29293364</v>
      </c>
      <c r="BG46" s="3">
        <f t="shared" si="47"/>
        <v>-264462759.17523029</v>
      </c>
      <c r="BH46" s="3">
        <f t="shared" si="48"/>
        <v>-258250172.31361577</v>
      </c>
      <c r="BI46" s="3">
        <f t="shared" si="49"/>
        <v>-249916790.03171581</v>
      </c>
      <c r="BJ46" s="3">
        <f t="shared" si="50"/>
        <v>-238729119.03479299</v>
      </c>
      <c r="BK46" s="3">
        <f t="shared" si="51"/>
        <v>-223581043.1227141</v>
      </c>
      <c r="BL46" s="3">
        <f t="shared" si="52"/>
        <v>-202815881.81570289</v>
      </c>
      <c r="BM46" s="3">
        <f t="shared" si="53"/>
        <v>-173993708.51579294</v>
      </c>
      <c r="BN46" s="3">
        <f t="shared" si="54"/>
        <v>-133679849.61614117</v>
      </c>
      <c r="BO46" s="3">
        <f t="shared" si="55"/>
        <v>-77580248.082590327</v>
      </c>
      <c r="BP46" s="3">
        <f t="shared" si="56"/>
        <v>0</v>
      </c>
      <c r="BW46" s="19"/>
      <c r="BX46" s="3">
        <f t="shared" si="57"/>
        <v>0.17426273458445043</v>
      </c>
      <c r="BY46" s="3">
        <f t="shared" ref="BY46:CW46" si="85">$C$19/($C$20-$C$21*BX46)</f>
        <v>0.17972039376148968</v>
      </c>
      <c r="BZ46" s="3">
        <f t="shared" si="85"/>
        <v>0.17989684606081083</v>
      </c>
      <c r="CA46" s="3">
        <f t="shared" si="85"/>
        <v>0.179902556745832</v>
      </c>
      <c r="CB46" s="3">
        <f t="shared" si="85"/>
        <v>0.17990274157194241</v>
      </c>
      <c r="CC46" s="3">
        <f t="shared" si="85"/>
        <v>0.17990274755383903</v>
      </c>
      <c r="CD46" s="3">
        <f t="shared" si="85"/>
        <v>0.17990274774744311</v>
      </c>
      <c r="CE46" s="3">
        <f t="shared" si="85"/>
        <v>0.1799027477537091</v>
      </c>
      <c r="CF46" s="3">
        <f t="shared" si="85"/>
        <v>0.17990274775391188</v>
      </c>
      <c r="CG46" s="3">
        <f t="shared" si="85"/>
        <v>0.17990274775391843</v>
      </c>
      <c r="CH46" s="3">
        <f t="shared" si="85"/>
        <v>0.17990274775391865</v>
      </c>
      <c r="CI46" s="3">
        <f t="shared" si="85"/>
        <v>0.17990274775391865</v>
      </c>
      <c r="CJ46" s="3">
        <f t="shared" si="85"/>
        <v>0.17990274775391865</v>
      </c>
      <c r="CK46" s="3">
        <f t="shared" si="85"/>
        <v>0.17990274775391865</v>
      </c>
      <c r="CL46" s="3">
        <f t="shared" si="85"/>
        <v>0.17990274775391865</v>
      </c>
      <c r="CM46" s="3">
        <f t="shared" si="85"/>
        <v>0.17990274775391865</v>
      </c>
      <c r="CN46" s="3">
        <f t="shared" si="85"/>
        <v>0.17990274775391865</v>
      </c>
      <c r="CO46" s="3">
        <f t="shared" si="85"/>
        <v>0.17990274775391865</v>
      </c>
      <c r="CP46" s="3">
        <f t="shared" si="85"/>
        <v>0.17990274775391865</v>
      </c>
      <c r="CQ46" s="3">
        <f t="shared" si="85"/>
        <v>0.17990274775391865</v>
      </c>
      <c r="CR46" s="3">
        <f t="shared" si="85"/>
        <v>0.17990274775391865</v>
      </c>
      <c r="CS46" s="3">
        <f t="shared" si="85"/>
        <v>0.17990274775391865</v>
      </c>
      <c r="CT46" s="3">
        <f t="shared" si="85"/>
        <v>0.17990274775391865</v>
      </c>
      <c r="CU46" s="3">
        <f t="shared" si="85"/>
        <v>0.17990274775391865</v>
      </c>
      <c r="CV46" s="3">
        <f t="shared" si="85"/>
        <v>0.17990274775391865</v>
      </c>
      <c r="CW46" s="3">
        <f t="shared" si="85"/>
        <v>0.17990274775391865</v>
      </c>
      <c r="CX46" s="3">
        <v>0</v>
      </c>
      <c r="DE46" s="19"/>
      <c r="DF46" s="3">
        <f t="shared" si="59"/>
        <v>0</v>
      </c>
      <c r="DG46" s="3">
        <f t="shared" si="59"/>
        <v>16.817358513477501</v>
      </c>
      <c r="DH46" s="3">
        <f t="shared" si="60"/>
        <v>29.936330394388083</v>
      </c>
      <c r="DI46" s="3">
        <f t="shared" si="61"/>
        <v>39.558449502576096</v>
      </c>
      <c r="DJ46" s="3">
        <f t="shared" si="62"/>
        <v>46.497016913820929</v>
      </c>
      <c r="DK46" s="3">
        <f t="shared" si="63"/>
        <v>51.499572609297189</v>
      </c>
      <c r="DL46" s="3">
        <f t="shared" si="64"/>
        <v>55.124914882907888</v>
      </c>
      <c r="DM46" s="3">
        <f t="shared" si="65"/>
        <v>57.761948770529656</v>
      </c>
      <c r="DN46" s="3">
        <f t="shared" si="66"/>
        <v>59.674667419221812</v>
      </c>
      <c r="DO46" s="3">
        <f t="shared" si="67"/>
        <v>61.041443339568595</v>
      </c>
      <c r="DP46" s="3">
        <f t="shared" si="68"/>
        <v>61.983085856323278</v>
      </c>
      <c r="DQ46" s="3">
        <f t="shared" si="69"/>
        <v>62.581280149109567</v>
      </c>
      <c r="DR46" s="3">
        <f t="shared" si="70"/>
        <v>62.89011313184433</v>
      </c>
      <c r="DS46" s="3">
        <f t="shared" si="71"/>
        <v>62.942877051623263</v>
      </c>
      <c r="DT46" s="3">
        <f t="shared" si="72"/>
        <v>62.755601692804184</v>
      </c>
      <c r="DU46" s="3">
        <f t="shared" si="73"/>
        <v>62.328135201236364</v>
      </c>
      <c r="DV46" s="3">
        <f t="shared" si="74"/>
        <v>61.643086315308828</v>
      </c>
      <c r="DW46" s="3">
        <f t="shared" si="75"/>
        <v>60.662486893089792</v>
      </c>
      <c r="DX46" s="3">
        <f t="shared" si="76"/>
        <v>59.32154416947872</v>
      </c>
      <c r="DY46" s="3">
        <f t="shared" si="77"/>
        <v>57.51823815341227</v>
      </c>
      <c r="DZ46" s="3">
        <f t="shared" si="78"/>
        <v>55.096724118599752</v>
      </c>
      <c r="EA46" s="3">
        <f t="shared" si="79"/>
        <v>51.821627109806457</v>
      </c>
      <c r="EB46" s="3">
        <f t="shared" si="80"/>
        <v>47.340062893630652</v>
      </c>
      <c r="EC46" s="3">
        <f t="shared" si="81"/>
        <v>41.131189932187112</v>
      </c>
      <c r="ED46" s="3">
        <f t="shared" si="82"/>
        <v>32.457488456718337</v>
      </c>
      <c r="EE46" s="3">
        <f t="shared" si="83"/>
        <v>20.381368923779615</v>
      </c>
      <c r="EF46" s="3">
        <v>0</v>
      </c>
    </row>
    <row r="47" spans="6:136" x14ac:dyDescent="0.3">
      <c r="G47" s="13"/>
      <c r="H47" s="3">
        <v>0</v>
      </c>
      <c r="I47" s="3">
        <f t="shared" si="5"/>
        <v>18.143868250903907</v>
      </c>
      <c r="J47" s="3">
        <f t="shared" si="6"/>
        <v>30.822600023599385</v>
      </c>
      <c r="K47" s="3">
        <f t="shared" si="7"/>
        <v>40.94724993160397</v>
      </c>
      <c r="L47" s="3">
        <f t="shared" si="8"/>
        <v>48.804129287385116</v>
      </c>
      <c r="M47" s="3">
        <f t="shared" si="9"/>
        <v>54.815028176995305</v>
      </c>
      <c r="N47" s="3">
        <f t="shared" si="10"/>
        <v>59.374969265824781</v>
      </c>
      <c r="O47" s="3">
        <f t="shared" si="11"/>
        <v>62.804543145785082</v>
      </c>
      <c r="P47" s="3">
        <f t="shared" si="12"/>
        <v>65.348146101068309</v>
      </c>
      <c r="Q47" s="3">
        <f t="shared" si="13"/>
        <v>67.186502827453978</v>
      </c>
      <c r="R47" s="3">
        <f t="shared" si="14"/>
        <v>68.450834935896495</v>
      </c>
      <c r="S47" s="3">
        <f t="shared" si="15"/>
        <v>69.234503975803705</v>
      </c>
      <c r="T47" s="3">
        <f t="shared" si="16"/>
        <v>69.601303181937837</v>
      </c>
      <c r="U47" s="3">
        <f t="shared" si="17"/>
        <v>69.59067315255578</v>
      </c>
      <c r="V47" s="3">
        <f t="shared" si="18"/>
        <v>69.220319012848336</v>
      </c>
      <c r="W47" s="3">
        <f t="shared" si="19"/>
        <v>68.486583301581703</v>
      </c>
      <c r="X47" s="3">
        <f t="shared" si="20"/>
        <v>67.362702395956688</v>
      </c>
      <c r="Y47" s="3">
        <f t="shared" si="21"/>
        <v>65.794825873038818</v>
      </c>
      <c r="Z47" s="3">
        <f t="shared" si="22"/>
        <v>63.695454344341869</v>
      </c>
      <c r="AA47" s="3">
        <f t="shared" si="23"/>
        <v>60.933844022415748</v>
      </c>
      <c r="AB47" s="3">
        <f t="shared" si="24"/>
        <v>57.323189153541186</v>
      </c>
      <c r="AC47" s="3">
        <f t="shared" si="25"/>
        <v>52.605673719261603</v>
      </c>
      <c r="AD47" s="3">
        <f t="shared" si="26"/>
        <v>46.440290507514973</v>
      </c>
      <c r="AE47" s="3">
        <f t="shared" si="27"/>
        <v>38.407860407213747</v>
      </c>
      <c r="AF47" s="3">
        <f t="shared" si="28"/>
        <v>28.068865860118869</v>
      </c>
      <c r="AG47" s="3">
        <f t="shared" si="29"/>
        <v>15.150574831412722</v>
      </c>
      <c r="AH47" s="3">
        <v>0</v>
      </c>
      <c r="AI47"/>
      <c r="AJ47"/>
      <c r="AK47"/>
      <c r="AL47"/>
      <c r="AO47" s="19"/>
      <c r="AP47" s="3">
        <f t="shared" si="30"/>
        <v>0</v>
      </c>
      <c r="AQ47" s="3">
        <f t="shared" si="31"/>
        <v>-67310833.484842196</v>
      </c>
      <c r="AR47" s="3">
        <f t="shared" si="32"/>
        <v>-113042776.83728039</v>
      </c>
      <c r="AS47" s="3">
        <f t="shared" si="33"/>
        <v>-149095232.54138333</v>
      </c>
      <c r="AT47" s="3">
        <f t="shared" si="34"/>
        <v>-176880901.33301592</v>
      </c>
      <c r="AU47" s="3">
        <f t="shared" si="35"/>
        <v>-198068882.32662326</v>
      </c>
      <c r="AV47" s="3">
        <f t="shared" si="36"/>
        <v>-214122263.14327914</v>
      </c>
      <c r="AW47" s="3">
        <f t="shared" si="37"/>
        <v>-226193014.13651386</v>
      </c>
      <c r="AX47" s="3">
        <f t="shared" si="38"/>
        <v>-235146010.45550349</v>
      </c>
      <c r="AY47" s="3">
        <f t="shared" si="39"/>
        <v>-241616094.04365677</v>
      </c>
      <c r="AZ47" s="3">
        <f t="shared" si="40"/>
        <v>-246062913.61355144</v>
      </c>
      <c r="BA47" s="3">
        <f t="shared" si="41"/>
        <v>-248813492.37478271</v>
      </c>
      <c r="BB47" s="3">
        <f t="shared" si="42"/>
        <v>-250091714.69048467</v>
      </c>
      <c r="BC47" s="3">
        <f t="shared" si="43"/>
        <v>-250036581.59651452</v>
      </c>
      <c r="BD47" s="3">
        <f t="shared" si="44"/>
        <v>-248711261.20295188</v>
      </c>
      <c r="BE47" s="3">
        <f t="shared" si="45"/>
        <v>-246104303.94051242</v>
      </c>
      <c r="BF47" s="3">
        <f t="shared" si="46"/>
        <v>-242123502.36074629</v>
      </c>
      <c r="BG47" s="3">
        <f t="shared" si="47"/>
        <v>-236581939.20467645</v>
      </c>
      <c r="BH47" s="3">
        <f t="shared" si="48"/>
        <v>-229174875.91324723</v>
      </c>
      <c r="BI47" s="3">
        <f t="shared" si="49"/>
        <v>-219445505.47686931</v>
      </c>
      <c r="BJ47" s="3">
        <f t="shared" si="50"/>
        <v>-206737915.52678958</v>
      </c>
      <c r="BK47" s="3">
        <f t="shared" si="51"/>
        <v>-190138752.87286234</v>
      </c>
      <c r="BL47" s="3">
        <f t="shared" si="52"/>
        <v>-168419666.3547444</v>
      </c>
      <c r="BM47" s="3">
        <f t="shared" si="53"/>
        <v>-140021135.48791921</v>
      </c>
      <c r="BN47" s="3">
        <f t="shared" si="54"/>
        <v>-103186578.46512453</v>
      </c>
      <c r="BO47" s="3">
        <f t="shared" si="55"/>
        <v>-56502703.764521308</v>
      </c>
      <c r="BP47" s="3">
        <f t="shared" si="56"/>
        <v>0</v>
      </c>
      <c r="BW47" s="19"/>
      <c r="BX47" s="3">
        <f t="shared" si="57"/>
        <v>0.17426273458445043</v>
      </c>
      <c r="BY47" s="3">
        <f t="shared" ref="BY47:CW47" si="86">$C$19/($C$20-$C$21*BX47)</f>
        <v>0.17972039376148968</v>
      </c>
      <c r="BZ47" s="3">
        <f t="shared" si="86"/>
        <v>0.17989684606081083</v>
      </c>
      <c r="CA47" s="3">
        <f t="shared" si="86"/>
        <v>0.179902556745832</v>
      </c>
      <c r="CB47" s="3">
        <f t="shared" si="86"/>
        <v>0.17990274157194241</v>
      </c>
      <c r="CC47" s="3">
        <f t="shared" si="86"/>
        <v>0.17990274755383903</v>
      </c>
      <c r="CD47" s="3">
        <f t="shared" si="86"/>
        <v>0.17990274774744311</v>
      </c>
      <c r="CE47" s="3">
        <f t="shared" si="86"/>
        <v>0.1799027477537091</v>
      </c>
      <c r="CF47" s="3">
        <f t="shared" si="86"/>
        <v>0.17990274775391188</v>
      </c>
      <c r="CG47" s="3">
        <f t="shared" si="86"/>
        <v>0.17990274775391843</v>
      </c>
      <c r="CH47" s="3">
        <f t="shared" si="86"/>
        <v>0.17990274775391865</v>
      </c>
      <c r="CI47" s="3">
        <f t="shared" si="86"/>
        <v>0.17990274775391865</v>
      </c>
      <c r="CJ47" s="3">
        <f t="shared" si="86"/>
        <v>0.17990274775391865</v>
      </c>
      <c r="CK47" s="3">
        <f t="shared" si="86"/>
        <v>0.17990274775391865</v>
      </c>
      <c r="CL47" s="3">
        <f t="shared" si="86"/>
        <v>0.17990274775391865</v>
      </c>
      <c r="CM47" s="3">
        <f t="shared" si="86"/>
        <v>0.17990274775391865</v>
      </c>
      <c r="CN47" s="3">
        <f t="shared" si="86"/>
        <v>0.17990274775391865</v>
      </c>
      <c r="CO47" s="3">
        <f t="shared" si="86"/>
        <v>0.17990274775391865</v>
      </c>
      <c r="CP47" s="3">
        <f t="shared" si="86"/>
        <v>0.17990274775391865</v>
      </c>
      <c r="CQ47" s="3">
        <f t="shared" si="86"/>
        <v>0.17990274775391865</v>
      </c>
      <c r="CR47" s="3">
        <f t="shared" si="86"/>
        <v>0.17990274775391865</v>
      </c>
      <c r="CS47" s="3">
        <f t="shared" si="86"/>
        <v>0.17990274775391865</v>
      </c>
      <c r="CT47" s="3">
        <f t="shared" si="86"/>
        <v>0.17990274775391865</v>
      </c>
      <c r="CU47" s="3">
        <f t="shared" si="86"/>
        <v>0.17990274775391865</v>
      </c>
      <c r="CV47" s="3">
        <f t="shared" si="86"/>
        <v>0.17990274775391865</v>
      </c>
      <c r="CW47" s="3">
        <f t="shared" si="86"/>
        <v>0.17990274775391865</v>
      </c>
      <c r="CX47" s="3">
        <v>0</v>
      </c>
      <c r="DE47" s="19"/>
      <c r="DF47" s="3">
        <f t="shared" si="59"/>
        <v>0</v>
      </c>
      <c r="DG47" s="3">
        <f t="shared" si="59"/>
        <v>12.604418437909725</v>
      </c>
      <c r="DH47" s="3">
        <f t="shared" si="60"/>
        <v>23.456318906040078</v>
      </c>
      <c r="DI47" s="3">
        <f t="shared" si="61"/>
        <v>32.167262293049248</v>
      </c>
      <c r="DJ47" s="3">
        <f t="shared" si="62"/>
        <v>38.942755439000386</v>
      </c>
      <c r="DK47" s="3">
        <f t="shared" si="63"/>
        <v>44.133308070148679</v>
      </c>
      <c r="DL47" s="3">
        <f t="shared" si="64"/>
        <v>48.0762593828752</v>
      </c>
      <c r="DM47" s="3">
        <f t="shared" si="65"/>
        <v>51.048232101592063</v>
      </c>
      <c r="DN47" s="3">
        <f t="shared" si="66"/>
        <v>53.261109630433374</v>
      </c>
      <c r="DO47" s="3">
        <f t="shared" si="67"/>
        <v>54.872009536436281</v>
      </c>
      <c r="DP47" s="3">
        <f t="shared" si="68"/>
        <v>55.995357431269809</v>
      </c>
      <c r="DQ47" s="3">
        <f t="shared" si="69"/>
        <v>56.71303828611952</v>
      </c>
      <c r="DR47" s="3">
        <f t="shared" si="70"/>
        <v>57.081749863748193</v>
      </c>
      <c r="DS47" s="3">
        <f t="shared" si="71"/>
        <v>57.137747561741541</v>
      </c>
      <c r="DT47" s="3">
        <f t="shared" si="72"/>
        <v>56.899394492616153</v>
      </c>
      <c r="DU47" s="3">
        <f t="shared" si="73"/>
        <v>56.36784804441961</v>
      </c>
      <c r="DV47" s="3">
        <f t="shared" si="74"/>
        <v>55.526032433406385</v>
      </c>
      <c r="DW47" s="3">
        <f t="shared" si="75"/>
        <v>54.335838617057441</v>
      </c>
      <c r="DX47" s="3">
        <f t="shared" si="76"/>
        <v>52.733288373500585</v>
      </c>
      <c r="DY47" s="3">
        <f t="shared" si="77"/>
        <v>50.621244783676062</v>
      </c>
      <c r="DZ47" s="3">
        <f t="shared" si="78"/>
        <v>47.859283903999916</v>
      </c>
      <c r="EA47" s="3">
        <f t="shared" si="79"/>
        <v>44.250937850469434</v>
      </c>
      <c r="EB47" s="3">
        <f t="shared" si="80"/>
        <v>39.530610884908278</v>
      </c>
      <c r="EC47" s="3">
        <f t="shared" si="81"/>
        <v>33.358194312642205</v>
      </c>
      <c r="ED47" s="3">
        <f t="shared" si="82"/>
        <v>25.343235817896357</v>
      </c>
      <c r="EE47" s="3">
        <f t="shared" si="83"/>
        <v>15.150574831412722</v>
      </c>
      <c r="EF47" s="3">
        <v>0</v>
      </c>
    </row>
    <row r="48" spans="6:136" x14ac:dyDescent="0.3">
      <c r="G48" s="13"/>
      <c r="H48" s="3">
        <v>0</v>
      </c>
      <c r="I48" s="3">
        <f t="shared" si="5"/>
        <v>14.459051260146381</v>
      </c>
      <c r="J48" s="3">
        <f t="shared" si="6"/>
        <v>25.124814861231435</v>
      </c>
      <c r="K48" s="3">
        <f t="shared" si="7"/>
        <v>34.146090809405784</v>
      </c>
      <c r="L48" s="3">
        <f t="shared" si="8"/>
        <v>41.523565995809861</v>
      </c>
      <c r="M48" s="3">
        <f t="shared" si="9"/>
        <v>47.425620983081501</v>
      </c>
      <c r="N48" s="3">
        <f t="shared" si="10"/>
        <v>52.069455207765891</v>
      </c>
      <c r="O48" s="3">
        <f t="shared" si="11"/>
        <v>55.664243786412406</v>
      </c>
      <c r="P48" s="3">
        <f t="shared" si="12"/>
        <v>58.389497399084597</v>
      </c>
      <c r="Q48" s="3">
        <f t="shared" si="13"/>
        <v>60.39042962673787</v>
      </c>
      <c r="R48" s="3">
        <f t="shared" si="14"/>
        <v>61.780186555333692</v>
      </c>
      <c r="S48" s="3">
        <f t="shared" si="15"/>
        <v>62.643945553664096</v>
      </c>
      <c r="T48" s="3">
        <f t="shared" si="16"/>
        <v>63.042698105849169</v>
      </c>
      <c r="U48" s="3">
        <f t="shared" si="17"/>
        <v>63.015901225442164</v>
      </c>
      <c r="V48" s="3">
        <f t="shared" si="18"/>
        <v>62.582775374799951</v>
      </c>
      <c r="W48" s="3">
        <f t="shared" si="19"/>
        <v>61.742236930806385</v>
      </c>
      <c r="X48" s="3">
        <f t="shared" si="20"/>
        <v>60.471495362720475</v>
      </c>
      <c r="Y48" s="3">
        <f t="shared" si="21"/>
        <v>58.723343586812668</v>
      </c>
      <c r="Z48" s="3">
        <f t="shared" si="22"/>
        <v>56.422223634634676</v>
      </c>
      <c r="AA48" s="3">
        <f t="shared" si="23"/>
        <v>53.459391787616596</v>
      </c>
      <c r="AB48" s="3">
        <f t="shared" si="24"/>
        <v>49.688173809687981</v>
      </c>
      <c r="AC48" s="3">
        <f t="shared" si="25"/>
        <v>44.921823042646118</v>
      </c>
      <c r="AD48" s="3">
        <f t="shared" si="26"/>
        <v>38.93959126133413</v>
      </c>
      <c r="AE48" s="3">
        <f t="shared" si="27"/>
        <v>31.512252131329834</v>
      </c>
      <c r="AF48" s="3">
        <f t="shared" si="28"/>
        <v>22.466960780524481</v>
      </c>
      <c r="AG48" s="3">
        <f t="shared" si="29"/>
        <v>11.820070021725765</v>
      </c>
      <c r="AH48" s="3">
        <v>0</v>
      </c>
      <c r="AI48"/>
      <c r="AJ48"/>
      <c r="AK48"/>
      <c r="AL48"/>
      <c r="AO48" s="19"/>
      <c r="AP48" s="3">
        <f t="shared" si="30"/>
        <v>0</v>
      </c>
      <c r="AQ48" s="3">
        <f t="shared" si="31"/>
        <v>-53101430.741943032</v>
      </c>
      <c r="AR48" s="3">
        <f t="shared" si="32"/>
        <v>-91726137.822558612</v>
      </c>
      <c r="AS48" s="3">
        <f t="shared" si="33"/>
        <v>-124093816.67871615</v>
      </c>
      <c r="AT48" s="3">
        <f t="shared" si="34"/>
        <v>-150402593.88284922</v>
      </c>
      <c r="AU48" s="3">
        <f t="shared" si="35"/>
        <v>-171370709.34758693</v>
      </c>
      <c r="AV48" s="3">
        <f t="shared" si="36"/>
        <v>-187832030.08204404</v>
      </c>
      <c r="AW48" s="3">
        <f t="shared" si="37"/>
        <v>-200557845.57299149</v>
      </c>
      <c r="AX48" s="3">
        <f t="shared" si="38"/>
        <v>-210196686.35274732</v>
      </c>
      <c r="AY48" s="3">
        <f t="shared" si="39"/>
        <v>-217267438.88034937</v>
      </c>
      <c r="AZ48" s="3">
        <f t="shared" si="40"/>
        <v>-222172137.49755993</v>
      </c>
      <c r="BA48" s="3">
        <f t="shared" si="41"/>
        <v>-225212768.01843986</v>
      </c>
      <c r="BB48" s="3">
        <f t="shared" si="42"/>
        <v>-226605623.18514124</v>
      </c>
      <c r="BC48" s="3">
        <f t="shared" si="43"/>
        <v>-226491029.0801715</v>
      </c>
      <c r="BD48" s="3">
        <f t="shared" si="44"/>
        <v>-224938013.53869748</v>
      </c>
      <c r="BE48" s="3">
        <f t="shared" si="45"/>
        <v>-221944034.8838684</v>
      </c>
      <c r="BF48" s="3">
        <f t="shared" si="46"/>
        <v>-217429921.28188643</v>
      </c>
      <c r="BG48" s="3">
        <f t="shared" si="47"/>
        <v>-211230069.70335105</v>
      </c>
      <c r="BH48" s="3">
        <f t="shared" si="48"/>
        <v>-203078018.43446267</v>
      </c>
      <c r="BI48" s="3">
        <f t="shared" si="49"/>
        <v>-192588148.81812865</v>
      </c>
      <c r="BJ48" s="3">
        <f t="shared" si="50"/>
        <v>-179236249.39490944</v>
      </c>
      <c r="BK48" s="3">
        <f t="shared" si="51"/>
        <v>-162346446.63317922</v>
      </c>
      <c r="BL48" s="3">
        <f t="shared" si="52"/>
        <v>-141102199.68378216</v>
      </c>
      <c r="BM48" s="3">
        <f t="shared" si="53"/>
        <v>-114618795.28480497</v>
      </c>
      <c r="BN48" s="3">
        <f t="shared" si="54"/>
        <v>-82148595.255551532</v>
      </c>
      <c r="BO48" s="3">
        <f t="shared" si="55"/>
        <v>-43536373.656469934</v>
      </c>
      <c r="BP48" s="3">
        <f t="shared" si="56"/>
        <v>0</v>
      </c>
      <c r="BW48" s="19"/>
      <c r="BX48" s="3">
        <f t="shared" si="57"/>
        <v>0.17426273458445043</v>
      </c>
      <c r="BY48" s="3">
        <f t="shared" ref="BY48:CW48" si="87">$C$19/($C$20-$C$21*BX48)</f>
        <v>0.17972039376148968</v>
      </c>
      <c r="BZ48" s="3">
        <f t="shared" si="87"/>
        <v>0.17989684606081083</v>
      </c>
      <c r="CA48" s="3">
        <f t="shared" si="87"/>
        <v>0.179902556745832</v>
      </c>
      <c r="CB48" s="3">
        <f t="shared" si="87"/>
        <v>0.17990274157194241</v>
      </c>
      <c r="CC48" s="3">
        <f t="shared" si="87"/>
        <v>0.17990274755383903</v>
      </c>
      <c r="CD48" s="3">
        <f t="shared" si="87"/>
        <v>0.17990274774744311</v>
      </c>
      <c r="CE48" s="3">
        <f t="shared" si="87"/>
        <v>0.1799027477537091</v>
      </c>
      <c r="CF48" s="3">
        <f t="shared" si="87"/>
        <v>0.17990274775391188</v>
      </c>
      <c r="CG48" s="3">
        <f t="shared" si="87"/>
        <v>0.17990274775391843</v>
      </c>
      <c r="CH48" s="3">
        <f t="shared" si="87"/>
        <v>0.17990274775391865</v>
      </c>
      <c r="CI48" s="3">
        <f t="shared" si="87"/>
        <v>0.17990274775391865</v>
      </c>
      <c r="CJ48" s="3">
        <f t="shared" si="87"/>
        <v>0.17990274775391865</v>
      </c>
      <c r="CK48" s="3">
        <f t="shared" si="87"/>
        <v>0.17990274775391865</v>
      </c>
      <c r="CL48" s="3">
        <f t="shared" si="87"/>
        <v>0.17990274775391865</v>
      </c>
      <c r="CM48" s="3">
        <f t="shared" si="87"/>
        <v>0.17990274775391865</v>
      </c>
      <c r="CN48" s="3">
        <f t="shared" si="87"/>
        <v>0.17990274775391865</v>
      </c>
      <c r="CO48" s="3">
        <f t="shared" si="87"/>
        <v>0.17990274775391865</v>
      </c>
      <c r="CP48" s="3">
        <f t="shared" si="87"/>
        <v>0.17990274775391865</v>
      </c>
      <c r="CQ48" s="3">
        <f t="shared" si="87"/>
        <v>0.17990274775391865</v>
      </c>
      <c r="CR48" s="3">
        <f t="shared" si="87"/>
        <v>0.17990274775391865</v>
      </c>
      <c r="CS48" s="3">
        <f t="shared" si="87"/>
        <v>0.17990274775391865</v>
      </c>
      <c r="CT48" s="3">
        <f t="shared" si="87"/>
        <v>0.17990274775391865</v>
      </c>
      <c r="CU48" s="3">
        <f t="shared" si="87"/>
        <v>0.17990274775391865</v>
      </c>
      <c r="CV48" s="3">
        <f t="shared" si="87"/>
        <v>0.17990274775391865</v>
      </c>
      <c r="CW48" s="3">
        <f t="shared" si="87"/>
        <v>0.17990274775391865</v>
      </c>
      <c r="CX48" s="3">
        <v>0</v>
      </c>
      <c r="DE48" s="19"/>
      <c r="DF48" s="3">
        <f t="shared" si="59"/>
        <v>0</v>
      </c>
      <c r="DG48" s="3">
        <f t="shared" si="59"/>
        <v>9.9436096401013412</v>
      </c>
      <c r="DH48" s="3">
        <f t="shared" si="60"/>
        <v>18.982040819313294</v>
      </c>
      <c r="DI48" s="3">
        <f t="shared" si="61"/>
        <v>26.675895121555303</v>
      </c>
      <c r="DJ48" s="3">
        <f t="shared" si="62"/>
        <v>32.991566760201664</v>
      </c>
      <c r="DK48" s="3">
        <f t="shared" si="63"/>
        <v>38.058182927572865</v>
      </c>
      <c r="DL48" s="3">
        <f t="shared" si="64"/>
        <v>42.055304799306761</v>
      </c>
      <c r="DM48" s="3">
        <f t="shared" si="65"/>
        <v>45.159812764359039</v>
      </c>
      <c r="DN48" s="3">
        <f t="shared" si="66"/>
        <v>47.525093171195209</v>
      </c>
      <c r="DO48" s="3">
        <f t="shared" si="67"/>
        <v>49.276004308683646</v>
      </c>
      <c r="DP48" s="3">
        <f t="shared" si="68"/>
        <v>50.510368620082644</v>
      </c>
      <c r="DQ48" s="3">
        <f t="shared" si="69"/>
        <v>51.302390938601064</v>
      </c>
      <c r="DR48" s="3">
        <f t="shared" si="70"/>
        <v>51.705964323202593</v>
      </c>
      <c r="DS48" s="3">
        <f t="shared" si="71"/>
        <v>51.75708797344938</v>
      </c>
      <c r="DT48" s="3">
        <f t="shared" si="72"/>
        <v>51.475177298474406</v>
      </c>
      <c r="DU48" s="3">
        <f t="shared" si="73"/>
        <v>50.863248754264625</v>
      </c>
      <c r="DV48" s="3">
        <f t="shared" si="74"/>
        <v>49.907004494155416</v>
      </c>
      <c r="DW48" s="3">
        <f t="shared" si="75"/>
        <v>48.572830520555797</v>
      </c>
      <c r="DX48" s="3">
        <f t="shared" si="76"/>
        <v>46.804732158789179</v>
      </c>
      <c r="DY48" s="3">
        <f t="shared" si="77"/>
        <v>44.520352788379434</v>
      </c>
      <c r="DZ48" s="3">
        <f t="shared" si="78"/>
        <v>41.606614410200649</v>
      </c>
      <c r="EA48" s="3">
        <f t="shared" si="79"/>
        <v>37.916483578317631</v>
      </c>
      <c r="EB48" s="3">
        <f t="shared" si="80"/>
        <v>33.270450514993613</v>
      </c>
      <c r="EC48" s="3">
        <f t="shared" si="81"/>
        <v>27.470384153233955</v>
      </c>
      <c r="ED48" s="3">
        <f t="shared" si="82"/>
        <v>20.340497704972297</v>
      </c>
      <c r="EE48" s="3">
        <f t="shared" si="83"/>
        <v>11.820070021725765</v>
      </c>
      <c r="EF48" s="3">
        <v>0</v>
      </c>
    </row>
    <row r="49" spans="7:136" x14ac:dyDescent="0.3">
      <c r="G49" s="13"/>
      <c r="H49" s="3">
        <v>0</v>
      </c>
      <c r="I49" s="3">
        <f t="shared" si="5"/>
        <v>11.914734315199176</v>
      </c>
      <c r="J49" s="3">
        <f t="shared" si="6"/>
        <v>20.987026694555745</v>
      </c>
      <c r="K49" s="3">
        <f t="shared" si="7"/>
        <v>28.960525912093296</v>
      </c>
      <c r="L49" s="3">
        <f t="shared" si="8"/>
        <v>35.731947877930587</v>
      </c>
      <c r="M49" s="3">
        <f t="shared" si="9"/>
        <v>41.336444372558333</v>
      </c>
      <c r="N49" s="3">
        <f t="shared" si="10"/>
        <v>45.875956652912691</v>
      </c>
      <c r="O49" s="3">
        <f t="shared" si="11"/>
        <v>49.474369666036011</v>
      </c>
      <c r="P49" s="3">
        <f t="shared" si="12"/>
        <v>52.253396640187631</v>
      </c>
      <c r="Q49" s="3">
        <f t="shared" si="13"/>
        <v>54.321423722023042</v>
      </c>
      <c r="R49" s="3">
        <f t="shared" si="14"/>
        <v>55.769389118781909</v>
      </c>
      <c r="S49" s="3">
        <f t="shared" si="15"/>
        <v>56.669957824975405</v>
      </c>
      <c r="T49" s="3">
        <f t="shared" si="16"/>
        <v>57.077887429948852</v>
      </c>
      <c r="U49" s="3">
        <f t="shared" si="17"/>
        <v>57.030506411520903</v>
      </c>
      <c r="V49" s="3">
        <f t="shared" si="18"/>
        <v>56.547807530140645</v>
      </c>
      <c r="W49" s="3">
        <f t="shared" si="19"/>
        <v>55.63196794738441</v>
      </c>
      <c r="X49" s="3">
        <f t="shared" si="20"/>
        <v>54.266277272227782</v>
      </c>
      <c r="Y49" s="3">
        <f t="shared" si="21"/>
        <v>52.413584963471081</v>
      </c>
      <c r="Z49" s="3">
        <f t="shared" si="22"/>
        <v>50.014559047225049</v>
      </c>
      <c r="AA49" s="3">
        <f t="shared" si="23"/>
        <v>46.98638319042621</v>
      </c>
      <c r="AB49" s="3">
        <f t="shared" si="24"/>
        <v>43.22314956441312</v>
      </c>
      <c r="AC49" s="3">
        <f t="shared" si="25"/>
        <v>38.600312140439591</v>
      </c>
      <c r="AD49" s="3">
        <f t="shared" si="26"/>
        <v>32.987311587657246</v>
      </c>
      <c r="AE49" s="3">
        <f t="shared" si="27"/>
        <v>26.274766761626974</v>
      </c>
      <c r="AF49" s="3">
        <f t="shared" si="28"/>
        <v>18.424379124952974</v>
      </c>
      <c r="AG49" s="3">
        <f t="shared" si="29"/>
        <v>9.5472264264770867</v>
      </c>
      <c r="AH49" s="3">
        <v>0</v>
      </c>
      <c r="AI49"/>
      <c r="AJ49"/>
      <c r="AK49"/>
      <c r="AL49"/>
      <c r="AO49" s="19"/>
      <c r="AP49" s="3">
        <f t="shared" si="30"/>
        <v>0</v>
      </c>
      <c r="AQ49" s="3">
        <f t="shared" si="31"/>
        <v>-43485379.392789803</v>
      </c>
      <c r="AR49" s="3">
        <f t="shared" si="32"/>
        <v>-76356021.90845874</v>
      </c>
      <c r="AS49" s="3">
        <f t="shared" si="33"/>
        <v>-105064064.32502505</v>
      </c>
      <c r="AT49" s="3">
        <f t="shared" si="34"/>
        <v>-129326189.30863014</v>
      </c>
      <c r="AU49" s="3">
        <f t="shared" si="35"/>
        <v>-149337284.29537648</v>
      </c>
      <c r="AV49" s="3">
        <f t="shared" si="36"/>
        <v>-165506155.39700305</v>
      </c>
      <c r="AW49" s="3">
        <f t="shared" si="37"/>
        <v>-178300446.64160955</v>
      </c>
      <c r="AX49" s="3">
        <f t="shared" si="38"/>
        <v>-188167571.4860878</v>
      </c>
      <c r="AY49" s="3">
        <f t="shared" si="39"/>
        <v>-195500374.43064153</v>
      </c>
      <c r="AZ49" s="3">
        <f t="shared" si="40"/>
        <v>-200625933.82145557</v>
      </c>
      <c r="BA49" s="3">
        <f t="shared" si="41"/>
        <v>-203804620.57389879</v>
      </c>
      <c r="BB49" s="3">
        <f t="shared" si="42"/>
        <v>-205232445.87474573</v>
      </c>
      <c r="BC49" s="3">
        <f t="shared" si="43"/>
        <v>-205043254.66707918</v>
      </c>
      <c r="BD49" s="3">
        <f t="shared" si="44"/>
        <v>-203309241.54314426</v>
      </c>
      <c r="BE49" s="3">
        <f t="shared" si="45"/>
        <v>-200039246.96957588</v>
      </c>
      <c r="BF49" s="3">
        <f t="shared" si="46"/>
        <v>-195174804.17369244</v>
      </c>
      <c r="BG49" s="3">
        <f t="shared" si="47"/>
        <v>-188584288.21493697</v>
      </c>
      <c r="BH49" s="3">
        <f t="shared" si="48"/>
        <v>-180056066.45870987</v>
      </c>
      <c r="BI49" s="3">
        <f t="shared" si="49"/>
        <v>-169292616.84994945</v>
      </c>
      <c r="BJ49" s="3">
        <f t="shared" si="50"/>
        <v>-155909668.03530496</v>
      </c>
      <c r="BK49" s="3">
        <f t="shared" si="51"/>
        <v>-139448232.07883054</v>
      </c>
      <c r="BL49" s="3">
        <f t="shared" si="52"/>
        <v>-119413764.98641908</v>
      </c>
      <c r="BM49" s="3">
        <f t="shared" si="53"/>
        <v>-95365911.290093437</v>
      </c>
      <c r="BN49" s="3">
        <f t="shared" si="54"/>
        <v>-67092113.237423614</v>
      </c>
      <c r="BO49" s="3">
        <f t="shared" si="55"/>
        <v>-34898553.746777728</v>
      </c>
      <c r="BP49" s="3">
        <f t="shared" si="56"/>
        <v>0</v>
      </c>
      <c r="BW49" s="19"/>
      <c r="BX49" s="3">
        <f t="shared" si="57"/>
        <v>0.17426273458445043</v>
      </c>
      <c r="BY49" s="3">
        <f t="shared" ref="BY49:CW49" si="88">$C$19/($C$20-$C$21*BX49)</f>
        <v>0.17972039376148968</v>
      </c>
      <c r="BZ49" s="3">
        <f t="shared" si="88"/>
        <v>0.17989684606081083</v>
      </c>
      <c r="CA49" s="3">
        <f t="shared" si="88"/>
        <v>0.179902556745832</v>
      </c>
      <c r="CB49" s="3">
        <f t="shared" si="88"/>
        <v>0.17990274157194241</v>
      </c>
      <c r="CC49" s="3">
        <f t="shared" si="88"/>
        <v>0.17990274755383903</v>
      </c>
      <c r="CD49" s="3">
        <f t="shared" si="88"/>
        <v>0.17990274774744311</v>
      </c>
      <c r="CE49" s="3">
        <f t="shared" si="88"/>
        <v>0.1799027477537091</v>
      </c>
      <c r="CF49" s="3">
        <f t="shared" si="88"/>
        <v>0.17990274775391188</v>
      </c>
      <c r="CG49" s="3">
        <f t="shared" si="88"/>
        <v>0.17990274775391843</v>
      </c>
      <c r="CH49" s="3">
        <f t="shared" si="88"/>
        <v>0.17990274775391865</v>
      </c>
      <c r="CI49" s="3">
        <f t="shared" si="88"/>
        <v>0.17990274775391865</v>
      </c>
      <c r="CJ49" s="3">
        <f t="shared" si="88"/>
        <v>0.17990274775391865</v>
      </c>
      <c r="CK49" s="3">
        <f t="shared" si="88"/>
        <v>0.17990274775391865</v>
      </c>
      <c r="CL49" s="3">
        <f t="shared" si="88"/>
        <v>0.17990274775391865</v>
      </c>
      <c r="CM49" s="3">
        <f t="shared" si="88"/>
        <v>0.17990274775391865</v>
      </c>
      <c r="CN49" s="3">
        <f t="shared" si="88"/>
        <v>0.17990274775391865</v>
      </c>
      <c r="CO49" s="3">
        <f t="shared" si="88"/>
        <v>0.17990274775391865</v>
      </c>
      <c r="CP49" s="3">
        <f t="shared" si="88"/>
        <v>0.17990274775391865</v>
      </c>
      <c r="CQ49" s="3">
        <f t="shared" si="88"/>
        <v>0.17990274775391865</v>
      </c>
      <c r="CR49" s="3">
        <f t="shared" si="88"/>
        <v>0.17990274775391865</v>
      </c>
      <c r="CS49" s="3">
        <f t="shared" si="88"/>
        <v>0.17990274775391865</v>
      </c>
      <c r="CT49" s="3">
        <f t="shared" si="88"/>
        <v>0.17990274775391865</v>
      </c>
      <c r="CU49" s="3">
        <f t="shared" si="88"/>
        <v>0.17990274775391865</v>
      </c>
      <c r="CV49" s="3">
        <f t="shared" si="88"/>
        <v>0.17990274775391865</v>
      </c>
      <c r="CW49" s="3">
        <f t="shared" si="88"/>
        <v>0.17990274775391865</v>
      </c>
      <c r="CX49" s="3">
        <v>0</v>
      </c>
      <c r="DE49" s="19"/>
      <c r="DF49" s="3">
        <f t="shared" si="59"/>
        <v>0</v>
      </c>
      <c r="DG49" s="3">
        <f t="shared" si="59"/>
        <v>8.142937613770723</v>
      </c>
      <c r="DH49" s="3">
        <f t="shared" si="60"/>
        <v>15.777119422707774</v>
      </c>
      <c r="DI49" s="3">
        <f t="shared" si="61"/>
        <v>22.532257131344778</v>
      </c>
      <c r="DJ49" s="3">
        <f t="shared" si="62"/>
        <v>28.295408208471255</v>
      </c>
      <c r="DK49" s="3">
        <f t="shared" si="63"/>
        <v>33.083233724038514</v>
      </c>
      <c r="DL49" s="3">
        <f t="shared" si="64"/>
        <v>36.97538160692006</v>
      </c>
      <c r="DM49" s="3">
        <f t="shared" si="65"/>
        <v>40.073840031001822</v>
      </c>
      <c r="DN49" s="3">
        <f t="shared" si="66"/>
        <v>42.480823250691152</v>
      </c>
      <c r="DO49" s="3">
        <f t="shared" si="67"/>
        <v>44.288357378996693</v>
      </c>
      <c r="DP49" s="3">
        <f t="shared" si="68"/>
        <v>45.574307990970148</v>
      </c>
      <c r="DQ49" s="3">
        <f t="shared" si="69"/>
        <v>46.401489040338753</v>
      </c>
      <c r="DR49" s="3">
        <f t="shared" si="70"/>
        <v>46.817942620718767</v>
      </c>
      <c r="DS49" s="3">
        <f t="shared" si="71"/>
        <v>46.85740045738887</v>
      </c>
      <c r="DT49" s="3">
        <f t="shared" si="72"/>
        <v>46.539463633448257</v>
      </c>
      <c r="DU49" s="3">
        <f t="shared" si="73"/>
        <v>45.869315555734609</v>
      </c>
      <c r="DV49" s="3">
        <f t="shared" si="74"/>
        <v>44.836929317665863</v>
      </c>
      <c r="DW49" s="3">
        <f t="shared" si="75"/>
        <v>43.415828363174683</v>
      </c>
      <c r="DX49" s="3">
        <f t="shared" si="76"/>
        <v>41.561579604248841</v>
      </c>
      <c r="DY49" s="3">
        <f t="shared" si="77"/>
        <v>39.210419817209697</v>
      </c>
      <c r="DZ49" s="3">
        <f t="shared" si="78"/>
        <v>36.278847346189096</v>
      </c>
      <c r="EA49" s="3">
        <f t="shared" si="79"/>
        <v>32.665804144805371</v>
      </c>
      <c r="EB49" s="3">
        <f t="shared" si="80"/>
        <v>28.260408850647224</v>
      </c>
      <c r="EC49" s="3">
        <f t="shared" si="81"/>
        <v>22.960170331387996</v>
      </c>
      <c r="ED49" s="3">
        <f t="shared" si="82"/>
        <v>16.70680685740092</v>
      </c>
      <c r="EE49" s="3">
        <f t="shared" si="83"/>
        <v>9.5472264264770867</v>
      </c>
      <c r="EF49" s="3">
        <v>0</v>
      </c>
    </row>
    <row r="50" spans="7:136" x14ac:dyDescent="0.3">
      <c r="G50" s="13"/>
      <c r="H50" s="3">
        <v>0</v>
      </c>
      <c r="I50" s="3">
        <f t="shared" si="5"/>
        <v>10.077859633664303</v>
      </c>
      <c r="J50" s="3">
        <f t="shared" si="6"/>
        <v>17.901480336299617</v>
      </c>
      <c r="K50" s="3">
        <f t="shared" si="7"/>
        <v>24.957908644434834</v>
      </c>
      <c r="L50" s="3">
        <f t="shared" si="8"/>
        <v>31.115759011142622</v>
      </c>
      <c r="M50" s="3">
        <f t="shared" si="9"/>
        <v>36.345024753452492</v>
      </c>
      <c r="N50" s="3">
        <f t="shared" si="10"/>
        <v>40.678000030299764</v>
      </c>
      <c r="O50" s="3">
        <f t="shared" si="11"/>
        <v>44.178955668853128</v>
      </c>
      <c r="P50" s="3">
        <f t="shared" si="12"/>
        <v>46.924047532829427</v>
      </c>
      <c r="Q50" s="3">
        <f t="shared" si="13"/>
        <v>48.989323268842924</v>
      </c>
      <c r="R50" s="3">
        <f t="shared" si="14"/>
        <v>50.444108750935506</v>
      </c>
      <c r="S50" s="3">
        <f t="shared" si="15"/>
        <v>51.347558952355691</v>
      </c>
      <c r="T50" s="3">
        <f t="shared" si="16"/>
        <v>51.746862875622753</v>
      </c>
      <c r="U50" s="3">
        <f t="shared" si="17"/>
        <v>51.676184022244968</v>
      </c>
      <c r="V50" s="3">
        <f t="shared" si="18"/>
        <v>51.155836543958216</v>
      </c>
      <c r="W50" s="3">
        <f t="shared" si="19"/>
        <v>50.191475051946277</v>
      </c>
      <c r="X50" s="3">
        <f t="shared" si="20"/>
        <v>48.773269581383495</v>
      </c>
      <c r="Y50" s="3">
        <f t="shared" si="21"/>
        <v>46.875204978339234</v>
      </c>
      <c r="Z50" s="3">
        <f t="shared" si="22"/>
        <v>44.454843856738137</v>
      </c>
      <c r="AA50" s="3">
        <f t="shared" si="23"/>
        <v>41.45418348594702</v>
      </c>
      <c r="AB50" s="3">
        <f t="shared" si="24"/>
        <v>37.802675976856342</v>
      </c>
      <c r="AC50" s="3">
        <f t="shared" si="25"/>
        <v>33.424095516681781</v>
      </c>
      <c r="AD50" s="3">
        <f t="shared" si="26"/>
        <v>28.249646940101783</v>
      </c>
      <c r="AE50" s="3">
        <f t="shared" si="27"/>
        <v>22.240149143291376</v>
      </c>
      <c r="AF50" s="3">
        <f t="shared" si="28"/>
        <v>15.419288824651769</v>
      </c>
      <c r="AG50" s="3">
        <f t="shared" si="29"/>
        <v>7.9156635629805923</v>
      </c>
      <c r="AH50" s="3">
        <v>0</v>
      </c>
      <c r="AI50"/>
      <c r="AJ50"/>
      <c r="AK50"/>
      <c r="AL50"/>
      <c r="AO50" s="19"/>
      <c r="AP50" s="3">
        <f t="shared" si="30"/>
        <v>0</v>
      </c>
      <c r="AQ50" s="3">
        <f t="shared" si="31"/>
        <v>-36637359.202278912</v>
      </c>
      <c r="AR50" s="3">
        <f t="shared" si="32"/>
        <v>-64966826.715142272</v>
      </c>
      <c r="AS50" s="3">
        <f t="shared" si="33"/>
        <v>-90411389.168905869</v>
      </c>
      <c r="AT50" s="3">
        <f t="shared" si="34"/>
        <v>-112534555.29124756</v>
      </c>
      <c r="AU50" s="3">
        <f t="shared" si="35"/>
        <v>-131266166.35594386</v>
      </c>
      <c r="AV50" s="3">
        <f t="shared" si="36"/>
        <v>-146751197.52452996</v>
      </c>
      <c r="AW50" s="3">
        <f t="shared" si="37"/>
        <v>-159239535.53040823</v>
      </c>
      <c r="AX50" s="3">
        <f t="shared" si="38"/>
        <v>-169015938.17480218</v>
      </c>
      <c r="AY50" s="3">
        <f t="shared" si="39"/>
        <v>-176359611.79403821</v>
      </c>
      <c r="AZ50" s="3">
        <f t="shared" si="40"/>
        <v>-181522607.93563402</v>
      </c>
      <c r="BA50" s="3">
        <f t="shared" si="41"/>
        <v>-184718897.46751672</v>
      </c>
      <c r="BB50" s="3">
        <f t="shared" si="42"/>
        <v>-186118811.41818348</v>
      </c>
      <c r="BC50" s="3">
        <f t="shared" si="43"/>
        <v>-185845719.12243748</v>
      </c>
      <c r="BD50" s="3">
        <f t="shared" si="44"/>
        <v>-183973285.33980846</v>
      </c>
      <c r="BE50" s="3">
        <f t="shared" si="45"/>
        <v>-180522590.64555046</v>
      </c>
      <c r="BF50" s="3">
        <f t="shared" si="46"/>
        <v>-175459037.54144982</v>
      </c>
      <c r="BG50" s="3">
        <f t="shared" si="47"/>
        <v>-168689511.15799242</v>
      </c>
      <c r="BH50" s="3">
        <f t="shared" si="48"/>
        <v>-160060923.75343364</v>
      </c>
      <c r="BI50" s="3">
        <f t="shared" si="49"/>
        <v>-149362262.89734837</v>
      </c>
      <c r="BJ50" s="3">
        <f t="shared" si="50"/>
        <v>-136333811.91381565</v>
      </c>
      <c r="BK50" s="3">
        <f t="shared" si="51"/>
        <v>-120689491.59495743</v>
      </c>
      <c r="BL50" s="3">
        <f t="shared" si="52"/>
        <v>-102161174.28751375</v>
      </c>
      <c r="BM50" s="3">
        <f t="shared" si="53"/>
        <v>-80576362.810660347</v>
      </c>
      <c r="BN50" s="3">
        <f t="shared" si="54"/>
        <v>-55979694.06422431</v>
      </c>
      <c r="BO50" s="3">
        <f t="shared" si="55"/>
        <v>-28796855.895379227</v>
      </c>
      <c r="BP50" s="3">
        <f t="shared" si="56"/>
        <v>0</v>
      </c>
      <c r="BW50" s="19"/>
      <c r="BX50" s="3">
        <f t="shared" si="57"/>
        <v>0.17426273458445043</v>
      </c>
      <c r="BY50" s="3">
        <f t="shared" ref="BY50:CW50" si="89">$C$19/($C$20-$C$21*BX50)</f>
        <v>0.17972039376148968</v>
      </c>
      <c r="BZ50" s="3">
        <f t="shared" si="89"/>
        <v>0.17989684606081083</v>
      </c>
      <c r="CA50" s="3">
        <f t="shared" si="89"/>
        <v>0.179902556745832</v>
      </c>
      <c r="CB50" s="3">
        <f t="shared" si="89"/>
        <v>0.17990274157194241</v>
      </c>
      <c r="CC50" s="3">
        <f t="shared" si="89"/>
        <v>0.17990274755383903</v>
      </c>
      <c r="CD50" s="3">
        <f t="shared" si="89"/>
        <v>0.17990274774744311</v>
      </c>
      <c r="CE50" s="3">
        <f t="shared" si="89"/>
        <v>0.1799027477537091</v>
      </c>
      <c r="CF50" s="3">
        <f t="shared" si="89"/>
        <v>0.17990274775391188</v>
      </c>
      <c r="CG50" s="3">
        <f t="shared" si="89"/>
        <v>0.17990274775391843</v>
      </c>
      <c r="CH50" s="3">
        <f t="shared" si="89"/>
        <v>0.17990274775391865</v>
      </c>
      <c r="CI50" s="3">
        <f t="shared" si="89"/>
        <v>0.17990274775391865</v>
      </c>
      <c r="CJ50" s="3">
        <f t="shared" si="89"/>
        <v>0.17990274775391865</v>
      </c>
      <c r="CK50" s="3">
        <f t="shared" si="89"/>
        <v>0.17990274775391865</v>
      </c>
      <c r="CL50" s="3">
        <f t="shared" si="89"/>
        <v>0.17990274775391865</v>
      </c>
      <c r="CM50" s="3">
        <f t="shared" si="89"/>
        <v>0.17990274775391865</v>
      </c>
      <c r="CN50" s="3">
        <f t="shared" si="89"/>
        <v>0.17990274775391865</v>
      </c>
      <c r="CO50" s="3">
        <f t="shared" si="89"/>
        <v>0.17990274775391865</v>
      </c>
      <c r="CP50" s="3">
        <f t="shared" si="89"/>
        <v>0.17990274775391865</v>
      </c>
      <c r="CQ50" s="3">
        <f t="shared" si="89"/>
        <v>0.17990274775391865</v>
      </c>
      <c r="CR50" s="3">
        <f t="shared" si="89"/>
        <v>0.17990274775391865</v>
      </c>
      <c r="CS50" s="3">
        <f t="shared" si="89"/>
        <v>0.17990274775391865</v>
      </c>
      <c r="CT50" s="3">
        <f t="shared" si="89"/>
        <v>0.17990274775391865</v>
      </c>
      <c r="CU50" s="3">
        <f t="shared" si="89"/>
        <v>0.17990274775391865</v>
      </c>
      <c r="CV50" s="3">
        <f t="shared" si="89"/>
        <v>0.17990274775391865</v>
      </c>
      <c r="CW50" s="3">
        <f t="shared" si="89"/>
        <v>0.17990274775391865</v>
      </c>
      <c r="CX50" s="3">
        <v>0</v>
      </c>
      <c r="DE50" s="19"/>
      <c r="DF50" s="3">
        <f t="shared" si="59"/>
        <v>0</v>
      </c>
      <c r="DG50" s="3">
        <f t="shared" si="59"/>
        <v>6.8605985387109705</v>
      </c>
      <c r="DH50" s="3">
        <f t="shared" si="60"/>
        <v>13.411631286891945</v>
      </c>
      <c r="DI50" s="3">
        <f t="shared" si="61"/>
        <v>19.360104043243116</v>
      </c>
      <c r="DJ50" s="3">
        <f t="shared" si="62"/>
        <v>24.577189415496409</v>
      </c>
      <c r="DK50" s="3">
        <f t="shared" si="63"/>
        <v>29.02694078300642</v>
      </c>
      <c r="DL50" s="3">
        <f t="shared" si="64"/>
        <v>32.730084512860607</v>
      </c>
      <c r="DM50" s="3">
        <f t="shared" si="65"/>
        <v>35.737190581971461</v>
      </c>
      <c r="DN50" s="3">
        <f t="shared" si="66"/>
        <v>38.110733666159931</v>
      </c>
      <c r="DO50" s="3">
        <f t="shared" si="67"/>
        <v>39.914289496552144</v>
      </c>
      <c r="DP50" s="3">
        <f t="shared" si="68"/>
        <v>41.20654180495039</v>
      </c>
      <c r="DQ50" s="3">
        <f t="shared" si="69"/>
        <v>42.038156133385911</v>
      </c>
      <c r="DR50" s="3">
        <f t="shared" si="70"/>
        <v>42.450175376583736</v>
      </c>
      <c r="DS50" s="3">
        <f t="shared" si="71"/>
        <v>42.473108464336562</v>
      </c>
      <c r="DT50" s="3">
        <f t="shared" si="72"/>
        <v>42.12625226829082</v>
      </c>
      <c r="DU50" s="3">
        <f t="shared" si="73"/>
        <v>41.417029837312768</v>
      </c>
      <c r="DV50" s="3">
        <f t="shared" si="74"/>
        <v>40.340291404252099</v>
      </c>
      <c r="DW50" s="3">
        <f t="shared" si="75"/>
        <v>38.877656417540635</v>
      </c>
      <c r="DX50" s="3">
        <f t="shared" si="76"/>
        <v>36.997122341721152</v>
      </c>
      <c r="DY50" s="3">
        <f t="shared" si="77"/>
        <v>34.653378205259514</v>
      </c>
      <c r="DZ50" s="3">
        <f t="shared" si="78"/>
        <v>31.789589352215859</v>
      </c>
      <c r="EA50" s="3">
        <f t="shared" si="79"/>
        <v>28.341906409079392</v>
      </c>
      <c r="EB50" s="3">
        <f t="shared" si="80"/>
        <v>24.248582998766704</v>
      </c>
      <c r="EC50" s="3">
        <f t="shared" si="81"/>
        <v>19.466176715325233</v>
      </c>
      <c r="ED50" s="3">
        <f t="shared" si="82"/>
        <v>13.995239199375987</v>
      </c>
      <c r="EE50" s="3">
        <f t="shared" si="83"/>
        <v>7.9156635629805923</v>
      </c>
      <c r="EF50" s="3">
        <v>0</v>
      </c>
    </row>
    <row r="51" spans="7:136" x14ac:dyDescent="0.3">
      <c r="G51" s="13"/>
      <c r="H51" s="3">
        <v>0</v>
      </c>
      <c r="I51" s="3">
        <f t="shared" si="5"/>
        <v>8.7106682760056291</v>
      </c>
      <c r="J51" s="3">
        <f t="shared" si="6"/>
        <v>15.556169089157239</v>
      </c>
      <c r="K51" s="3">
        <f t="shared" si="7"/>
        <v>21.840349728081492</v>
      </c>
      <c r="L51" s="3">
        <f t="shared" si="8"/>
        <v>27.432656223908651</v>
      </c>
      <c r="M51" s="3">
        <f t="shared" si="9"/>
        <v>32.273862603015708</v>
      </c>
      <c r="N51" s="3">
        <f t="shared" si="10"/>
        <v>36.356249846659111</v>
      </c>
      <c r="O51" s="3">
        <f t="shared" si="11"/>
        <v>39.70473380907994</v>
      </c>
      <c r="P51" s="3">
        <f t="shared" si="12"/>
        <v>42.362077175172907</v>
      </c>
      <c r="Q51" s="3">
        <f t="shared" si="13"/>
        <v>44.378452966182934</v>
      </c>
      <c r="R51" s="3">
        <f t="shared" si="14"/>
        <v>45.804509282465453</v>
      </c>
      <c r="S51" s="3">
        <f t="shared" si="15"/>
        <v>46.6868806520757</v>
      </c>
      <c r="T51" s="3">
        <f t="shared" si="16"/>
        <v>47.065259710804753</v>
      </c>
      <c r="U51" s="3">
        <f t="shared" si="17"/>
        <v>46.970406655185499</v>
      </c>
      <c r="V51" s="3">
        <f t="shared" si="18"/>
        <v>46.42271960157511</v>
      </c>
      <c r="W51" s="3">
        <f t="shared" si="19"/>
        <v>45.431188141402082</v>
      </c>
      <c r="X51" s="3">
        <f t="shared" si="20"/>
        <v>43.99271454671694</v>
      </c>
      <c r="Y51" s="3">
        <f t="shared" si="21"/>
        <v>42.091936289300818</v>
      </c>
      <c r="Z51" s="3">
        <f t="shared" si="22"/>
        <v>39.701847152982637</v>
      </c>
      <c r="AA51" s="3">
        <f t="shared" si="23"/>
        <v>36.785715229306106</v>
      </c>
      <c r="AB51" s="3">
        <f t="shared" si="24"/>
        <v>33.301040825596957</v>
      </c>
      <c r="AC51" s="3">
        <f t="shared" si="25"/>
        <v>29.206549262596415</v>
      </c>
      <c r="AD51" s="3">
        <f t="shared" si="26"/>
        <v>24.473341714310944</v>
      </c>
      <c r="AE51" s="3">
        <f t="shared" si="27"/>
        <v>19.101020482998834</v>
      </c>
      <c r="AF51" s="3">
        <f t="shared" si="28"/>
        <v>13.13826825480754</v>
      </c>
      <c r="AG51" s="3">
        <f t="shared" si="29"/>
        <v>6.7040971315963418</v>
      </c>
      <c r="AH51" s="3">
        <v>0</v>
      </c>
      <c r="AI51"/>
      <c r="AJ51"/>
      <c r="AK51"/>
      <c r="AL51"/>
      <c r="AO51" s="19"/>
      <c r="AP51" s="3">
        <f t="shared" si="30"/>
        <v>0</v>
      </c>
      <c r="AQ51" s="3">
        <f t="shared" si="31"/>
        <v>-31587125.725794088</v>
      </c>
      <c r="AR51" s="3">
        <f t="shared" si="32"/>
        <v>-56354263.46158056</v>
      </c>
      <c r="AS51" s="3">
        <f t="shared" si="33"/>
        <v>-79027203.168607861</v>
      </c>
      <c r="AT51" s="3">
        <f t="shared" si="34"/>
        <v>-99149241.186616614</v>
      </c>
      <c r="AU51" s="3">
        <f t="shared" si="35"/>
        <v>-116526898.02691597</v>
      </c>
      <c r="AV51" s="3">
        <f t="shared" si="36"/>
        <v>-131150590.38909982</v>
      </c>
      <c r="AW51" s="3">
        <f t="shared" si="37"/>
        <v>-143123909.22745448</v>
      </c>
      <c r="AX51" s="3">
        <f t="shared" si="38"/>
        <v>-152610303.51300126</v>
      </c>
      <c r="AY51" s="3">
        <f t="shared" si="39"/>
        <v>-159796450.18050778</v>
      </c>
      <c r="AZ51" s="3">
        <f t="shared" si="40"/>
        <v>-164868382.61109471</v>
      </c>
      <c r="BA51" s="3">
        <f t="shared" si="41"/>
        <v>-167996235.95554769</v>
      </c>
      <c r="BB51" s="3">
        <f t="shared" si="42"/>
        <v>-169324337.82470623</v>
      </c>
      <c r="BC51" s="3">
        <f t="shared" si="43"/>
        <v>-168964427.9060134</v>
      </c>
      <c r="BD51" s="3">
        <f t="shared" si="44"/>
        <v>-166990698.96954015</v>
      </c>
      <c r="BE51" s="3">
        <f t="shared" si="45"/>
        <v>-163436057.1443997</v>
      </c>
      <c r="BF51" s="3">
        <f t="shared" si="46"/>
        <v>-158289558.12054271</v>
      </c>
      <c r="BG51" s="3">
        <f t="shared" si="47"/>
        <v>-151495485.03225636</v>
      </c>
      <c r="BH51" s="3">
        <f t="shared" si="48"/>
        <v>-142955098.77365774</v>
      </c>
      <c r="BI51" s="3">
        <f t="shared" si="49"/>
        <v>-132532806.64272238</v>
      </c>
      <c r="BJ51" s="3">
        <f t="shared" si="50"/>
        <v>-120069408.38302353</v>
      </c>
      <c r="BK51" s="3">
        <f t="shared" si="51"/>
        <v>-105406108.39241879</v>
      </c>
      <c r="BL51" s="3">
        <f t="shared" si="52"/>
        <v>-88423741.400805578</v>
      </c>
      <c r="BM51" s="3">
        <f t="shared" si="53"/>
        <v>-69101129.464572534</v>
      </c>
      <c r="BN51" s="3">
        <f t="shared" si="54"/>
        <v>-47592552.237741403</v>
      </c>
      <c r="BO51" s="3">
        <f t="shared" si="55"/>
        <v>-24313362.827820279</v>
      </c>
      <c r="BP51" s="3">
        <f t="shared" si="56"/>
        <v>0</v>
      </c>
      <c r="BW51" s="19"/>
      <c r="BX51" s="3">
        <f t="shared" si="57"/>
        <v>0.17426273458445043</v>
      </c>
      <c r="BY51" s="3">
        <f t="shared" ref="BY51:CW51" si="90">$C$19/($C$20-$C$21*BX51)</f>
        <v>0.17972039376148968</v>
      </c>
      <c r="BZ51" s="3">
        <f t="shared" si="90"/>
        <v>0.17989684606081083</v>
      </c>
      <c r="CA51" s="3">
        <f t="shared" si="90"/>
        <v>0.179902556745832</v>
      </c>
      <c r="CB51" s="3">
        <f t="shared" si="90"/>
        <v>0.17990274157194241</v>
      </c>
      <c r="CC51" s="3">
        <f t="shared" si="90"/>
        <v>0.17990274755383903</v>
      </c>
      <c r="CD51" s="3">
        <f t="shared" si="90"/>
        <v>0.17990274774744311</v>
      </c>
      <c r="CE51" s="3">
        <f t="shared" si="90"/>
        <v>0.1799027477537091</v>
      </c>
      <c r="CF51" s="3">
        <f t="shared" si="90"/>
        <v>0.17990274775391188</v>
      </c>
      <c r="CG51" s="3">
        <f t="shared" si="90"/>
        <v>0.17990274775391843</v>
      </c>
      <c r="CH51" s="3">
        <f t="shared" si="90"/>
        <v>0.17990274775391865</v>
      </c>
      <c r="CI51" s="3">
        <f t="shared" si="90"/>
        <v>0.17990274775391865</v>
      </c>
      <c r="CJ51" s="3">
        <f t="shared" si="90"/>
        <v>0.17990274775391865</v>
      </c>
      <c r="CK51" s="3">
        <f t="shared" si="90"/>
        <v>0.17990274775391865</v>
      </c>
      <c r="CL51" s="3">
        <f t="shared" si="90"/>
        <v>0.17990274775391865</v>
      </c>
      <c r="CM51" s="3">
        <f t="shared" si="90"/>
        <v>0.17990274775391865</v>
      </c>
      <c r="CN51" s="3">
        <f t="shared" si="90"/>
        <v>0.17990274775391865</v>
      </c>
      <c r="CO51" s="3">
        <f t="shared" si="90"/>
        <v>0.17990274775391865</v>
      </c>
      <c r="CP51" s="3">
        <f t="shared" si="90"/>
        <v>0.17990274775391865</v>
      </c>
      <c r="CQ51" s="3">
        <f t="shared" si="90"/>
        <v>0.17990274775391865</v>
      </c>
      <c r="CR51" s="3">
        <f t="shared" si="90"/>
        <v>0.17990274775391865</v>
      </c>
      <c r="CS51" s="3">
        <f t="shared" si="90"/>
        <v>0.17990274775391865</v>
      </c>
      <c r="CT51" s="3">
        <f t="shared" si="90"/>
        <v>0.17990274775391865</v>
      </c>
      <c r="CU51" s="3">
        <f t="shared" si="90"/>
        <v>0.17990274775391865</v>
      </c>
      <c r="CV51" s="3">
        <f t="shared" si="90"/>
        <v>0.17990274775391865</v>
      </c>
      <c r="CW51" s="3">
        <f t="shared" si="90"/>
        <v>0.17990274775391865</v>
      </c>
      <c r="CX51" s="3">
        <v>0</v>
      </c>
      <c r="DE51" s="19"/>
      <c r="DF51" s="3">
        <f t="shared" si="59"/>
        <v>0</v>
      </c>
      <c r="DG51" s="3">
        <f t="shared" si="59"/>
        <v>5.9149074418819758</v>
      </c>
      <c r="DH51" s="3">
        <f t="shared" si="60"/>
        <v>11.62715905621029</v>
      </c>
      <c r="DI51" s="3">
        <f t="shared" si="61"/>
        <v>16.905144735070866</v>
      </c>
      <c r="DJ51" s="3">
        <f t="shared" si="62"/>
        <v>21.626499860509941</v>
      </c>
      <c r="DK51" s="3">
        <f t="shared" si="63"/>
        <v>25.733273364847896</v>
      </c>
      <c r="DL51" s="3">
        <f t="shared" si="64"/>
        <v>29.213259135824824</v>
      </c>
      <c r="DM51" s="3">
        <f t="shared" si="65"/>
        <v>32.083679724711651</v>
      </c>
      <c r="DN51" s="3">
        <f t="shared" si="66"/>
        <v>34.378271545488857</v>
      </c>
      <c r="DO51" s="3">
        <f t="shared" si="67"/>
        <v>36.138095886747536</v>
      </c>
      <c r="DP51" s="3">
        <f t="shared" si="68"/>
        <v>37.405411169097775</v>
      </c>
      <c r="DQ51" s="3">
        <f t="shared" si="69"/>
        <v>38.219711106350125</v>
      </c>
      <c r="DR51" s="3">
        <f t="shared" si="70"/>
        <v>38.615154490417936</v>
      </c>
      <c r="DS51" s="3">
        <f t="shared" si="71"/>
        <v>38.61883184065244</v>
      </c>
      <c r="DT51" s="3">
        <f t="shared" si="72"/>
        <v>38.249524021211634</v>
      </c>
      <c r="DU51" s="3">
        <f t="shared" si="73"/>
        <v>37.516777913293915</v>
      </c>
      <c r="DV51" s="3">
        <f t="shared" si="74"/>
        <v>36.420259549988842</v>
      </c>
      <c r="DW51" s="3">
        <f t="shared" si="75"/>
        <v>34.949464895573151</v>
      </c>
      <c r="DX51" s="3">
        <f t="shared" si="76"/>
        <v>33.083995905137293</v>
      </c>
      <c r="DY51" s="3">
        <f t="shared" si="77"/>
        <v>30.79476648171579</v>
      </c>
      <c r="DZ51" s="3">
        <f t="shared" si="78"/>
        <v>28.046702360845675</v>
      </c>
      <c r="EA51" s="3">
        <f t="shared" si="79"/>
        <v>24.803727841471279</v>
      </c>
      <c r="EB51" s="3">
        <f t="shared" si="80"/>
        <v>21.03701564451557</v>
      </c>
      <c r="EC51" s="3">
        <f t="shared" si="81"/>
        <v>16.737409923230878</v>
      </c>
      <c r="ED51" s="3">
        <f t="shared" si="82"/>
        <v>11.932182759624194</v>
      </c>
      <c r="EE51" s="3">
        <f t="shared" si="83"/>
        <v>6.7040971315963418</v>
      </c>
      <c r="EF51" s="3">
        <v>0</v>
      </c>
    </row>
    <row r="52" spans="7:136" x14ac:dyDescent="0.3">
      <c r="G52" s="13"/>
      <c r="H52" s="3">
        <v>0</v>
      </c>
      <c r="I52" s="3">
        <f t="shared" si="5"/>
        <v>7.6740165229227744</v>
      </c>
      <c r="J52" s="3">
        <f t="shared" si="6"/>
        <v>13.752957856446692</v>
      </c>
      <c r="K52" s="3">
        <f t="shared" si="7"/>
        <v>19.401373539821197</v>
      </c>
      <c r="L52" s="3">
        <f t="shared" si="8"/>
        <v>24.498756554331216</v>
      </c>
      <c r="M52" s="3">
        <f t="shared" si="9"/>
        <v>28.974655253872228</v>
      </c>
      <c r="N52" s="3">
        <f t="shared" si="10"/>
        <v>32.799400351995402</v>
      </c>
      <c r="O52" s="3">
        <f t="shared" si="11"/>
        <v>35.97299203401095</v>
      </c>
      <c r="P52" s="3">
        <f t="shared" si="12"/>
        <v>38.514915023988308</v>
      </c>
      <c r="Q52" s="3">
        <f t="shared" si="13"/>
        <v>40.455888440882276</v>
      </c>
      <c r="R52" s="3">
        <f t="shared" si="14"/>
        <v>41.831603815860035</v>
      </c>
      <c r="S52" s="3">
        <f t="shared" si="15"/>
        <v>42.678116873125987</v>
      </c>
      <c r="T52" s="3">
        <f t="shared" si="16"/>
        <v>43.028485189617079</v>
      </c>
      <c r="U52" s="3">
        <f t="shared" si="17"/>
        <v>42.91031206124655</v>
      </c>
      <c r="V52" s="3">
        <f t="shared" si="18"/>
        <v>42.343971616651814</v>
      </c>
      <c r="W52" s="3">
        <f t="shared" si="19"/>
        <v>41.341409355333639</v>
      </c>
      <c r="X52" s="3">
        <f t="shared" si="20"/>
        <v>39.905524173187473</v>
      </c>
      <c r="Y52" s="3">
        <f t="shared" si="21"/>
        <v>38.030245406693382</v>
      </c>
      <c r="Z52" s="3">
        <f t="shared" si="22"/>
        <v>35.701528099607096</v>
      </c>
      <c r="AA52" s="3">
        <f t="shared" si="23"/>
        <v>32.899602930935096</v>
      </c>
      <c r="AB52" s="3">
        <f t="shared" si="24"/>
        <v>29.602918876556984</v>
      </c>
      <c r="AC52" s="3">
        <f t="shared" si="25"/>
        <v>25.794258042790535</v>
      </c>
      <c r="AD52" s="3">
        <f t="shared" si="26"/>
        <v>21.46937701278512</v>
      </c>
      <c r="AE52" s="3">
        <f t="shared" si="27"/>
        <v>16.648049306817793</v>
      </c>
      <c r="AF52" s="3">
        <f t="shared" si="28"/>
        <v>11.386282465824804</v>
      </c>
      <c r="AG52" s="3">
        <f t="shared" si="29"/>
        <v>5.7865229027315506</v>
      </c>
      <c r="AH52" s="3">
        <v>0</v>
      </c>
      <c r="AI52"/>
      <c r="AJ52"/>
      <c r="AK52"/>
      <c r="AL52"/>
      <c r="AO52" s="19"/>
      <c r="AP52" s="3">
        <f t="shared" si="30"/>
        <v>0</v>
      </c>
      <c r="AQ52" s="3">
        <f t="shared" si="31"/>
        <v>-27781776.516316596</v>
      </c>
      <c r="AR52" s="3">
        <f t="shared" si="32"/>
        <v>-49758811.110444508</v>
      </c>
      <c r="AS52" s="3">
        <f t="shared" si="33"/>
        <v>-70140983.565539271</v>
      </c>
      <c r="AT52" s="3">
        <f t="shared" si="34"/>
        <v>-88498010.006393373</v>
      </c>
      <c r="AU52" s="3">
        <f t="shared" si="35"/>
        <v>-104586009.72958766</v>
      </c>
      <c r="AV52" s="3">
        <f t="shared" si="36"/>
        <v>-118309194.96380156</v>
      </c>
      <c r="AW52" s="3">
        <f t="shared" si="37"/>
        <v>-129677341.39480965</v>
      </c>
      <c r="AX52" s="3">
        <f t="shared" si="38"/>
        <v>-138768278.31361949</v>
      </c>
      <c r="AY52" s="3">
        <f t="shared" si="39"/>
        <v>-145698235.87623826</v>
      </c>
      <c r="AZ52" s="3">
        <f t="shared" si="40"/>
        <v>-150599698.04907021</v>
      </c>
      <c r="BA52" s="3">
        <f t="shared" si="41"/>
        <v>-153605259.78704566</v>
      </c>
      <c r="BB52" s="3">
        <f t="shared" si="42"/>
        <v>-154835888.95816764</v>
      </c>
      <c r="BC52" s="3">
        <f t="shared" si="43"/>
        <v>-154392329.64073125</v>
      </c>
      <c r="BD52" s="3">
        <f t="shared" si="44"/>
        <v>-152348835.39551067</v>
      </c>
      <c r="BE52" s="3">
        <f t="shared" si="45"/>
        <v>-148748859.7776182</v>
      </c>
      <c r="BF52" s="3">
        <f t="shared" si="46"/>
        <v>-143602730.08212766</v>
      </c>
      <c r="BG52" s="3">
        <f t="shared" si="47"/>
        <v>-136887709.5580509</v>
      </c>
      <c r="BH52" s="3">
        <f t="shared" si="48"/>
        <v>-128551245.52706525</v>
      </c>
      <c r="BI52" s="3">
        <f t="shared" si="49"/>
        <v>-118518621.68378519</v>
      </c>
      <c r="BJ52" s="3">
        <f t="shared" si="50"/>
        <v>-106706644.22327967</v>
      </c>
      <c r="BK52" s="3">
        <f t="shared" si="51"/>
        <v>-93045241.784144998</v>
      </c>
      <c r="BL52" s="3">
        <f t="shared" si="52"/>
        <v>-77508590.951370284</v>
      </c>
      <c r="BM52" s="3">
        <f t="shared" si="53"/>
        <v>-60155913.732083164</v>
      </c>
      <c r="BN52" s="3">
        <f t="shared" si="54"/>
        <v>-41178371.045602545</v>
      </c>
      <c r="BO52" s="3">
        <f t="shared" si="55"/>
        <v>-20941290.866648722</v>
      </c>
      <c r="BP52" s="3">
        <f t="shared" si="56"/>
        <v>0</v>
      </c>
      <c r="BW52" s="19"/>
      <c r="BX52" s="3">
        <f t="shared" si="57"/>
        <v>0.17426273458445043</v>
      </c>
      <c r="BY52" s="3">
        <f t="shared" ref="BY52:CW52" si="91">$C$19/($C$20-$C$21*BX52)</f>
        <v>0.17972039376148968</v>
      </c>
      <c r="BZ52" s="3">
        <f t="shared" si="91"/>
        <v>0.17989684606081083</v>
      </c>
      <c r="CA52" s="3">
        <f t="shared" si="91"/>
        <v>0.179902556745832</v>
      </c>
      <c r="CB52" s="3">
        <f t="shared" si="91"/>
        <v>0.17990274157194241</v>
      </c>
      <c r="CC52" s="3">
        <f t="shared" si="91"/>
        <v>0.17990274755383903</v>
      </c>
      <c r="CD52" s="3">
        <f t="shared" si="91"/>
        <v>0.17990274774744311</v>
      </c>
      <c r="CE52" s="3">
        <f t="shared" si="91"/>
        <v>0.1799027477537091</v>
      </c>
      <c r="CF52" s="3">
        <f t="shared" si="91"/>
        <v>0.17990274775391188</v>
      </c>
      <c r="CG52" s="3">
        <f t="shared" si="91"/>
        <v>0.17990274775391843</v>
      </c>
      <c r="CH52" s="3">
        <f t="shared" si="91"/>
        <v>0.17990274775391865</v>
      </c>
      <c r="CI52" s="3">
        <f t="shared" si="91"/>
        <v>0.17990274775391865</v>
      </c>
      <c r="CJ52" s="3">
        <f t="shared" si="91"/>
        <v>0.17990274775391865</v>
      </c>
      <c r="CK52" s="3">
        <f t="shared" si="91"/>
        <v>0.17990274775391865</v>
      </c>
      <c r="CL52" s="3">
        <f t="shared" si="91"/>
        <v>0.17990274775391865</v>
      </c>
      <c r="CM52" s="3">
        <f t="shared" si="91"/>
        <v>0.17990274775391865</v>
      </c>
      <c r="CN52" s="3">
        <f t="shared" si="91"/>
        <v>0.17990274775391865</v>
      </c>
      <c r="CO52" s="3">
        <f t="shared" si="91"/>
        <v>0.17990274775391865</v>
      </c>
      <c r="CP52" s="3">
        <f t="shared" si="91"/>
        <v>0.17990274775391865</v>
      </c>
      <c r="CQ52" s="3">
        <f t="shared" si="91"/>
        <v>0.17990274775391865</v>
      </c>
      <c r="CR52" s="3">
        <f t="shared" si="91"/>
        <v>0.17990274775391865</v>
      </c>
      <c r="CS52" s="3">
        <f t="shared" si="91"/>
        <v>0.17990274775391865</v>
      </c>
      <c r="CT52" s="3">
        <f t="shared" si="91"/>
        <v>0.17990274775391865</v>
      </c>
      <c r="CU52" s="3">
        <f t="shared" si="91"/>
        <v>0.17990274775391865</v>
      </c>
      <c r="CV52" s="3">
        <f t="shared" si="91"/>
        <v>0.17990274775391865</v>
      </c>
      <c r="CW52" s="3">
        <f t="shared" si="91"/>
        <v>0.17990274775391865</v>
      </c>
      <c r="CX52" s="3">
        <v>0</v>
      </c>
      <c r="DE52" s="19"/>
      <c r="DF52" s="3">
        <f t="shared" si="59"/>
        <v>0</v>
      </c>
      <c r="DG52" s="3">
        <f t="shared" si="59"/>
        <v>5.2023295215770018</v>
      </c>
      <c r="DH52" s="3">
        <f t="shared" si="60"/>
        <v>10.26271194738519</v>
      </c>
      <c r="DI52" s="3">
        <f t="shared" si="61"/>
        <v>14.993984598603303</v>
      </c>
      <c r="DJ52" s="3">
        <f t="shared" si="62"/>
        <v>19.286136638057716</v>
      </c>
      <c r="DK52" s="3">
        <f t="shared" si="63"/>
        <v>23.0739530124299</v>
      </c>
      <c r="DL52" s="3">
        <f t="shared" si="64"/>
        <v>26.327760240379952</v>
      </c>
      <c r="DM52" s="3">
        <f t="shared" si="65"/>
        <v>29.044052991694841</v>
      </c>
      <c r="DN52" s="3">
        <f t="shared" si="66"/>
        <v>31.236789530647869</v>
      </c>
      <c r="DO52" s="3">
        <f t="shared" si="67"/>
        <v>32.930267971455756</v>
      </c>
      <c r="DP52" s="3">
        <f t="shared" si="68"/>
        <v>34.153693321421791</v>
      </c>
      <c r="DQ52" s="3">
        <f t="shared" si="69"/>
        <v>34.937174155825083</v>
      </c>
      <c r="DR52" s="3">
        <f t="shared" si="70"/>
        <v>35.30880214282071</v>
      </c>
      <c r="DS52" s="3">
        <f t="shared" si="71"/>
        <v>35.292515216596946</v>
      </c>
      <c r="DT52" s="3">
        <f t="shared" si="72"/>
        <v>34.906538477607732</v>
      </c>
      <c r="DU52" s="3">
        <f t="shared" si="73"/>
        <v>34.162295906016787</v>
      </c>
      <c r="DV52" s="3">
        <f t="shared" si="74"/>
        <v>33.063778526767493</v>
      </c>
      <c r="DW52" s="3">
        <f t="shared" si="75"/>
        <v>31.607442402560331</v>
      </c>
      <c r="DX52" s="3">
        <f t="shared" si="76"/>
        <v>29.782799132318996</v>
      </c>
      <c r="DY52" s="3">
        <f t="shared" si="77"/>
        <v>27.573956483506148</v>
      </c>
      <c r="DZ52" s="3">
        <f t="shared" si="78"/>
        <v>24.962460978385351</v>
      </c>
      <c r="EA52" s="3">
        <f t="shared" si="79"/>
        <v>21.931858125625673</v>
      </c>
      <c r="EB52" s="3">
        <f t="shared" si="80"/>
        <v>18.474347197745878</v>
      </c>
      <c r="EC52" s="3">
        <f t="shared" si="81"/>
        <v>14.599625804513646</v>
      </c>
      <c r="ED52" s="3">
        <f t="shared" si="82"/>
        <v>10.345271095682417</v>
      </c>
      <c r="EE52" s="3">
        <f t="shared" si="83"/>
        <v>5.7865229027315506</v>
      </c>
      <c r="EF52" s="3">
        <v>0</v>
      </c>
    </row>
    <row r="53" spans="7:136" x14ac:dyDescent="0.3">
      <c r="G53" s="13"/>
      <c r="H53" s="3">
        <v>0</v>
      </c>
      <c r="I53" s="3">
        <f t="shared" si="5"/>
        <v>6.8816365660743779</v>
      </c>
      <c r="J53" s="3">
        <f t="shared" si="6"/>
        <v>12.361507642772546</v>
      </c>
      <c r="K53" s="3">
        <f t="shared" si="7"/>
        <v>17.495583626207821</v>
      </c>
      <c r="L53" s="3">
        <f t="shared" si="8"/>
        <v>22.174823297059078</v>
      </c>
      <c r="M53" s="3">
        <f t="shared" si="9"/>
        <v>26.326060124742689</v>
      </c>
      <c r="N53" s="3">
        <f t="shared" si="10"/>
        <v>29.908244163725282</v>
      </c>
      <c r="O53" s="3">
        <f t="shared" si="11"/>
        <v>32.906190418024835</v>
      </c>
      <c r="P53" s="3">
        <f t="shared" si="12"/>
        <v>35.32381608261192</v>
      </c>
      <c r="Q53" s="3">
        <f t="shared" si="13"/>
        <v>37.177915908914343</v>
      </c>
      <c r="R53" s="3">
        <f t="shared" si="14"/>
        <v>38.492881074872948</v>
      </c>
      <c r="S53" s="3">
        <f t="shared" si="15"/>
        <v>39.296412881512616</v>
      </c>
      <c r="T53" s="3">
        <f t="shared" si="16"/>
        <v>39.616134439109814</v>
      </c>
      <c r="U53" s="3">
        <f t="shared" si="17"/>
        <v>39.476975898375365</v>
      </c>
      <c r="V53" s="3">
        <f t="shared" si="18"/>
        <v>38.899240901798322</v>
      </c>
      <c r="W53" s="3">
        <f t="shared" si="19"/>
        <v>37.897318337647853</v>
      </c>
      <c r="X53" s="3">
        <f t="shared" si="20"/>
        <v>36.479066962256191</v>
      </c>
      <c r="Y53" s="3">
        <f t="shared" si="21"/>
        <v>34.645963897401202</v>
      </c>
      <c r="Z53" s="3">
        <f t="shared" si="22"/>
        <v>32.394167087117602</v>
      </c>
      <c r="AA53" s="3">
        <f t="shared" si="23"/>
        <v>29.716688118577167</v>
      </c>
      <c r="AB53" s="3">
        <f t="shared" si="24"/>
        <v>26.606885507785989</v>
      </c>
      <c r="AC53" s="3">
        <f t="shared" si="25"/>
        <v>23.06343007121334</v>
      </c>
      <c r="AD53" s="3">
        <f t="shared" si="26"/>
        <v>19.096697323943435</v>
      </c>
      <c r="AE53" s="3">
        <f t="shared" si="27"/>
        <v>14.73611716785107</v>
      </c>
      <c r="AF53" s="3">
        <f t="shared" si="28"/>
        <v>10.037276233452195</v>
      </c>
      <c r="AG53" s="3">
        <f t="shared" si="29"/>
        <v>5.0865434344268419</v>
      </c>
      <c r="AH53" s="3">
        <v>0</v>
      </c>
      <c r="AI53"/>
      <c r="AJ53"/>
      <c r="AK53"/>
      <c r="AL53"/>
      <c r="AO53" s="19"/>
      <c r="AP53" s="3">
        <f t="shared" si="30"/>
        <v>0</v>
      </c>
      <c r="AQ53" s="3">
        <f t="shared" si="31"/>
        <v>-24885712.561704241</v>
      </c>
      <c r="AR53" s="3">
        <f t="shared" si="32"/>
        <v>-44684967.330295771</v>
      </c>
      <c r="AS53" s="3">
        <f t="shared" si="33"/>
        <v>-63210684.605651952</v>
      </c>
      <c r="AT53" s="3">
        <f t="shared" si="34"/>
        <v>-80070018.348216504</v>
      </c>
      <c r="AU53" s="3">
        <f t="shared" si="35"/>
        <v>-95004053.897868335</v>
      </c>
      <c r="AV53" s="3">
        <f t="shared" si="36"/>
        <v>-107871504.0764989</v>
      </c>
      <c r="AW53" s="3">
        <f t="shared" si="37"/>
        <v>-118624375.69696259</v>
      </c>
      <c r="AX53" s="3">
        <f t="shared" si="38"/>
        <v>-127282697.76698257</v>
      </c>
      <c r="AY53" s="3">
        <f t="shared" si="39"/>
        <v>-133911798.43544552</v>
      </c>
      <c r="AZ53" s="3">
        <f t="shared" si="40"/>
        <v>-138603307.04174852</v>
      </c>
      <c r="BA53" s="3">
        <f t="shared" si="41"/>
        <v>-141459867.79862729</v>
      </c>
      <c r="BB53" s="3">
        <f t="shared" si="42"/>
        <v>-142583101.9581964</v>
      </c>
      <c r="BC53" s="3">
        <f t="shared" si="43"/>
        <v>-142064314.63049677</v>
      </c>
      <c r="BD53" s="3">
        <f t="shared" si="44"/>
        <v>-139977591.68285188</v>
      </c>
      <c r="BE53" s="3">
        <f t="shared" si="45"/>
        <v>-136375151.05703473</v>
      </c>
      <c r="BF53" s="3">
        <f t="shared" si="46"/>
        <v>-131285047.44994408</v>
      </c>
      <c r="BG53" s="3">
        <f t="shared" si="47"/>
        <v>-124711561.07831527</v>
      </c>
      <c r="BH53" s="3">
        <f t="shared" si="48"/>
        <v>-116638821.27379878</v>
      </c>
      <c r="BI53" s="3">
        <f t="shared" si="49"/>
        <v>-107038400.91943727</v>
      </c>
      <c r="BJ53" s="3">
        <f t="shared" si="50"/>
        <v>-95881704.839914531</v>
      </c>
      <c r="BK53" s="3">
        <f t="shared" si="51"/>
        <v>-83157828.800866604</v>
      </c>
      <c r="BL53" s="3">
        <f t="shared" si="52"/>
        <v>-68896946.26450482</v>
      </c>
      <c r="BM53" s="3">
        <f t="shared" si="53"/>
        <v>-53197835.224244066</v>
      </c>
      <c r="BN53" s="3">
        <f t="shared" si="54"/>
        <v>-36255501.120145768</v>
      </c>
      <c r="BO53" s="3">
        <f t="shared" si="55"/>
        <v>-18380862.519218717</v>
      </c>
      <c r="BP53" s="3">
        <f t="shared" si="56"/>
        <v>0</v>
      </c>
      <c r="BW53" s="19"/>
      <c r="BX53" s="3">
        <f t="shared" si="57"/>
        <v>0.17426273458445043</v>
      </c>
      <c r="BY53" s="3">
        <f t="shared" ref="BY53:CW53" si="92">$C$19/($C$20-$C$21*BX53)</f>
        <v>0.17972039376148968</v>
      </c>
      <c r="BZ53" s="3">
        <f t="shared" si="92"/>
        <v>0.17989684606081083</v>
      </c>
      <c r="CA53" s="3">
        <f t="shared" si="92"/>
        <v>0.179902556745832</v>
      </c>
      <c r="CB53" s="3">
        <f t="shared" si="92"/>
        <v>0.17990274157194241</v>
      </c>
      <c r="CC53" s="3">
        <f t="shared" si="92"/>
        <v>0.17990274755383903</v>
      </c>
      <c r="CD53" s="3">
        <f t="shared" si="92"/>
        <v>0.17990274774744311</v>
      </c>
      <c r="CE53" s="3">
        <f t="shared" si="92"/>
        <v>0.1799027477537091</v>
      </c>
      <c r="CF53" s="3">
        <f t="shared" si="92"/>
        <v>0.17990274775391188</v>
      </c>
      <c r="CG53" s="3">
        <f t="shared" si="92"/>
        <v>0.17990274775391843</v>
      </c>
      <c r="CH53" s="3">
        <f t="shared" si="92"/>
        <v>0.17990274775391865</v>
      </c>
      <c r="CI53" s="3">
        <f t="shared" si="92"/>
        <v>0.17990274775391865</v>
      </c>
      <c r="CJ53" s="3">
        <f t="shared" si="92"/>
        <v>0.17990274775391865</v>
      </c>
      <c r="CK53" s="3">
        <f t="shared" si="92"/>
        <v>0.17990274775391865</v>
      </c>
      <c r="CL53" s="3">
        <f t="shared" si="92"/>
        <v>0.17990274775391865</v>
      </c>
      <c r="CM53" s="3">
        <f t="shared" si="92"/>
        <v>0.17990274775391865</v>
      </c>
      <c r="CN53" s="3">
        <f t="shared" si="92"/>
        <v>0.17990274775391865</v>
      </c>
      <c r="CO53" s="3">
        <f t="shared" si="92"/>
        <v>0.17990274775391865</v>
      </c>
      <c r="CP53" s="3">
        <f t="shared" si="92"/>
        <v>0.17990274775391865</v>
      </c>
      <c r="CQ53" s="3">
        <f t="shared" si="92"/>
        <v>0.17990274775391865</v>
      </c>
      <c r="CR53" s="3">
        <f t="shared" si="92"/>
        <v>0.17990274775391865</v>
      </c>
      <c r="CS53" s="3">
        <f t="shared" si="92"/>
        <v>0.17990274775391865</v>
      </c>
      <c r="CT53" s="3">
        <f t="shared" si="92"/>
        <v>0.17990274775391865</v>
      </c>
      <c r="CU53" s="3">
        <f t="shared" si="92"/>
        <v>0.17990274775391865</v>
      </c>
      <c r="CV53" s="3">
        <f t="shared" si="92"/>
        <v>0.17990274775391865</v>
      </c>
      <c r="CW53" s="3">
        <f t="shared" si="92"/>
        <v>0.17990274775391865</v>
      </c>
      <c r="CX53" s="3">
        <v>0</v>
      </c>
      <c r="DE53" s="19"/>
      <c r="DF53" s="3">
        <f t="shared" si="59"/>
        <v>0</v>
      </c>
      <c r="DG53" s="3">
        <f t="shared" si="59"/>
        <v>4.6600215450296316</v>
      </c>
      <c r="DH53" s="3">
        <f t="shared" si="60"/>
        <v>9.2141073284245945</v>
      </c>
      <c r="DI53" s="3">
        <f t="shared" si="61"/>
        <v>13.506276219679853</v>
      </c>
      <c r="DJ53" s="3">
        <f t="shared" si="62"/>
        <v>17.438692905830074</v>
      </c>
      <c r="DK53" s="3">
        <f t="shared" si="63"/>
        <v>20.945484825177441</v>
      </c>
      <c r="DL53" s="3">
        <f t="shared" si="64"/>
        <v>23.988330089622032</v>
      </c>
      <c r="DM53" s="3">
        <f t="shared" si="65"/>
        <v>26.551338843616293</v>
      </c>
      <c r="DN53" s="3">
        <f t="shared" si="66"/>
        <v>28.635406854834358</v>
      </c>
      <c r="DO53" s="3">
        <f t="shared" si="67"/>
        <v>30.252940834579896</v>
      </c>
      <c r="DP53" s="3">
        <f t="shared" si="68"/>
        <v>31.423348420616346</v>
      </c>
      <c r="DQ53" s="3">
        <f t="shared" si="69"/>
        <v>32.169361440528114</v>
      </c>
      <c r="DR53" s="3">
        <f t="shared" si="70"/>
        <v>32.514118001976861</v>
      </c>
      <c r="DS53" s="3">
        <f t="shared" si="71"/>
        <v>32.478895574600223</v>
      </c>
      <c r="DT53" s="3">
        <f t="shared" si="72"/>
        <v>32.081409200350507</v>
      </c>
      <c r="DU53" s="3">
        <f t="shared" si="73"/>
        <v>31.334633955638772</v>
      </c>
      <c r="DV53" s="3">
        <f t="shared" si="74"/>
        <v>30.246162858530649</v>
      </c>
      <c r="DW53" s="3">
        <f t="shared" si="75"/>
        <v>28.81816422722919</v>
      </c>
      <c r="DX53" s="3">
        <f t="shared" si="76"/>
        <v>27.048053240439341</v>
      </c>
      <c r="DY53" s="3">
        <f t="shared" si="77"/>
        <v>24.930036306552552</v>
      </c>
      <c r="DZ53" s="3">
        <f t="shared" si="78"/>
        <v>22.457711065344352</v>
      </c>
      <c r="EA53" s="3">
        <f t="shared" si="79"/>
        <v>19.62788174961101</v>
      </c>
      <c r="EB53" s="3">
        <f t="shared" si="80"/>
        <v>16.445629354223332</v>
      </c>
      <c r="EC53" s="3">
        <f t="shared" si="81"/>
        <v>12.930383593487917</v>
      </c>
      <c r="ED53" s="3">
        <f t="shared" si="82"/>
        <v>9.1221930930291517</v>
      </c>
      <c r="EE53" s="3">
        <f t="shared" si="83"/>
        <v>5.0865434344268419</v>
      </c>
      <c r="EF53" s="3">
        <v>0</v>
      </c>
    </row>
    <row r="54" spans="7:136" x14ac:dyDescent="0.3">
      <c r="G54" s="13"/>
      <c r="H54" s="3">
        <v>0</v>
      </c>
      <c r="I54" s="3">
        <f t="shared" si="5"/>
        <v>6.2773367813477785</v>
      </c>
      <c r="J54" s="3">
        <f t="shared" si="6"/>
        <v>11.293166128439863</v>
      </c>
      <c r="K54" s="3">
        <f t="shared" si="7"/>
        <v>16.018664062124326</v>
      </c>
      <c r="L54" s="3">
        <f t="shared" si="8"/>
        <v>20.354885830488389</v>
      </c>
      <c r="M54" s="3">
        <f t="shared" si="9"/>
        <v>24.229640600129724</v>
      </c>
      <c r="N54" s="3">
        <f t="shared" si="10"/>
        <v>27.596510149015348</v>
      </c>
      <c r="O54" s="3">
        <f t="shared" si="11"/>
        <v>30.431486172775557</v>
      </c>
      <c r="P54" s="3">
        <f t="shared" si="12"/>
        <v>32.728535031757616</v>
      </c>
      <c r="Q54" s="3">
        <f t="shared" si="13"/>
        <v>34.494964214177699</v>
      </c>
      <c r="R54" s="3">
        <f t="shared" si="14"/>
        <v>35.747081252635802</v>
      </c>
      <c r="S54" s="3">
        <f t="shared" si="15"/>
        <v>36.506373597438561</v>
      </c>
      <c r="T54" s="3">
        <f t="shared" si="16"/>
        <v>36.796290705611916</v>
      </c>
      <c r="U54" s="3">
        <f t="shared" si="17"/>
        <v>36.639645649549536</v>
      </c>
      <c r="V54" s="3">
        <f t="shared" si="18"/>
        <v>36.056640756595698</v>
      </c>
      <c r="W54" s="3">
        <f t="shared" si="19"/>
        <v>35.063536129113743</v>
      </c>
      <c r="X54" s="3">
        <f t="shared" si="20"/>
        <v>33.672005786804334</v>
      </c>
      <c r="Y54" s="3">
        <f t="shared" si="21"/>
        <v>31.88925356883254</v>
      </c>
      <c r="Z54" s="3">
        <f t="shared" si="22"/>
        <v>29.718981372061194</v>
      </c>
      <c r="AA54" s="3">
        <f t="shared" si="23"/>
        <v>27.163304821806658</v>
      </c>
      <c r="AB54" s="3">
        <f t="shared" si="24"/>
        <v>24.225678811400435</v>
      </c>
      <c r="AC54" s="3">
        <f t="shared" si="25"/>
        <v>20.914801398979527</v>
      </c>
      <c r="AD54" s="3">
        <f t="shared" si="26"/>
        <v>17.249275612345681</v>
      </c>
      <c r="AE54" s="3">
        <f t="shared" si="27"/>
        <v>13.262493906916376</v>
      </c>
      <c r="AF54" s="3">
        <f t="shared" si="28"/>
        <v>9.0067698023623812</v>
      </c>
      <c r="AG54" s="3">
        <f t="shared" si="29"/>
        <v>4.5552640992037787</v>
      </c>
      <c r="AH54" s="3">
        <v>0</v>
      </c>
      <c r="AI54"/>
      <c r="AJ54"/>
      <c r="AK54"/>
      <c r="AL54"/>
      <c r="AO54" s="19"/>
      <c r="AP54" s="3">
        <f t="shared" si="30"/>
        <v>0</v>
      </c>
      <c r="AQ54" s="3">
        <f t="shared" si="31"/>
        <v>-22683940.486771651</v>
      </c>
      <c r="AR54" s="3">
        <f t="shared" si="32"/>
        <v>-40798526.538944803</v>
      </c>
      <c r="AS54" s="3">
        <f t="shared" si="33"/>
        <v>-57848575.656037986</v>
      </c>
      <c r="AT54" s="3">
        <f t="shared" si="34"/>
        <v>-73476224.736097336</v>
      </c>
      <c r="AU54" s="3">
        <f t="shared" si="35"/>
        <v>-87423394.881432712</v>
      </c>
      <c r="AV54" s="3">
        <f t="shared" si="36"/>
        <v>-99526764.867052853</v>
      </c>
      <c r="AW54" s="3">
        <f t="shared" si="37"/>
        <v>-109704449.64458355</v>
      </c>
      <c r="AX54" s="3">
        <f t="shared" si="38"/>
        <v>-117939247.56624177</v>
      </c>
      <c r="AY54" s="3">
        <f t="shared" si="39"/>
        <v>-124261544.26802027</v>
      </c>
      <c r="AZ54" s="3">
        <f t="shared" si="40"/>
        <v>-128733517.55525684</v>
      </c>
      <c r="BA54" s="3">
        <f t="shared" si="41"/>
        <v>-131435352.79965362</v>
      </c>
      <c r="BB54" s="3">
        <f t="shared" si="42"/>
        <v>-132453680.4671391</v>
      </c>
      <c r="BC54" s="3">
        <f t="shared" si="43"/>
        <v>-131872248.75996575</v>
      </c>
      <c r="BD54" s="3">
        <f t="shared" si="44"/>
        <v>-129764821.52061865</v>
      </c>
      <c r="BE54" s="3">
        <f t="shared" si="45"/>
        <v>-126190357.94077477</v>
      </c>
      <c r="BF54" s="3">
        <f t="shared" si="46"/>
        <v>-121190633.16569586</v>
      </c>
      <c r="BG54" s="3">
        <f t="shared" si="47"/>
        <v>-114790565.30067335</v>
      </c>
      <c r="BH54" s="3">
        <f t="shared" si="48"/>
        <v>-107001598.18073069</v>
      </c>
      <c r="BI54" s="3">
        <f t="shared" si="49"/>
        <v>-97828514.873879239</v>
      </c>
      <c r="BJ54" s="3">
        <f t="shared" si="50"/>
        <v>-87279964.760398865</v>
      </c>
      <c r="BK54" s="3">
        <f t="shared" si="51"/>
        <v>-75382682.291283175</v>
      </c>
      <c r="BL54" s="3">
        <f t="shared" si="52"/>
        <v>-62198727.256690867</v>
      </c>
      <c r="BM54" s="3">
        <f t="shared" si="53"/>
        <v>-47843946.435645014</v>
      </c>
      <c r="BN54" s="3">
        <f t="shared" si="54"/>
        <v>-32504192.044401195</v>
      </c>
      <c r="BO54" s="3">
        <f t="shared" si="55"/>
        <v>-16443870.028789483</v>
      </c>
      <c r="BP54" s="3">
        <f t="shared" si="56"/>
        <v>0</v>
      </c>
      <c r="BW54" s="19"/>
      <c r="BX54" s="3">
        <f t="shared" si="57"/>
        <v>0.17426273458445043</v>
      </c>
      <c r="BY54" s="3">
        <f t="shared" ref="BY54:CW54" si="93">$C$19/($C$20-$C$21*BX54)</f>
        <v>0.17972039376148968</v>
      </c>
      <c r="BZ54" s="3">
        <f t="shared" si="93"/>
        <v>0.17989684606081083</v>
      </c>
      <c r="CA54" s="3">
        <f t="shared" si="93"/>
        <v>0.179902556745832</v>
      </c>
      <c r="CB54" s="3">
        <f t="shared" si="93"/>
        <v>0.17990274157194241</v>
      </c>
      <c r="CC54" s="3">
        <f t="shared" si="93"/>
        <v>0.17990274755383903</v>
      </c>
      <c r="CD54" s="3">
        <f t="shared" si="93"/>
        <v>0.17990274774744311</v>
      </c>
      <c r="CE54" s="3">
        <f t="shared" si="93"/>
        <v>0.1799027477537091</v>
      </c>
      <c r="CF54" s="3">
        <f t="shared" si="93"/>
        <v>0.17990274775391188</v>
      </c>
      <c r="CG54" s="3">
        <f t="shared" si="93"/>
        <v>0.17990274775391843</v>
      </c>
      <c r="CH54" s="3">
        <f t="shared" si="93"/>
        <v>0.17990274775391865</v>
      </c>
      <c r="CI54" s="3">
        <f t="shared" si="93"/>
        <v>0.17990274775391865</v>
      </c>
      <c r="CJ54" s="3">
        <f t="shared" si="93"/>
        <v>0.17990274775391865</v>
      </c>
      <c r="CK54" s="3">
        <f t="shared" si="93"/>
        <v>0.17990274775391865</v>
      </c>
      <c r="CL54" s="3">
        <f t="shared" si="93"/>
        <v>0.17990274775391865</v>
      </c>
      <c r="CM54" s="3">
        <f t="shared" si="93"/>
        <v>0.17990274775391865</v>
      </c>
      <c r="CN54" s="3">
        <f t="shared" si="93"/>
        <v>0.17990274775391865</v>
      </c>
      <c r="CO54" s="3">
        <f t="shared" si="93"/>
        <v>0.17990274775391865</v>
      </c>
      <c r="CP54" s="3">
        <f t="shared" si="93"/>
        <v>0.17990274775391865</v>
      </c>
      <c r="CQ54" s="3">
        <f t="shared" si="93"/>
        <v>0.17990274775391865</v>
      </c>
      <c r="CR54" s="3">
        <f t="shared" si="93"/>
        <v>0.17990274775391865</v>
      </c>
      <c r="CS54" s="3">
        <f t="shared" si="93"/>
        <v>0.17990274775391865</v>
      </c>
      <c r="CT54" s="3">
        <f t="shared" si="93"/>
        <v>0.17990274775391865</v>
      </c>
      <c r="CU54" s="3">
        <f t="shared" si="93"/>
        <v>0.17990274775391865</v>
      </c>
      <c r="CV54" s="3">
        <f t="shared" si="93"/>
        <v>0.17990274775391865</v>
      </c>
      <c r="CW54" s="3">
        <f t="shared" si="93"/>
        <v>0.17990274775391865</v>
      </c>
      <c r="CX54" s="3">
        <v>0</v>
      </c>
      <c r="DE54" s="19"/>
      <c r="DF54" s="3">
        <f t="shared" si="59"/>
        <v>0</v>
      </c>
      <c r="DG54" s="3">
        <f t="shared" si="59"/>
        <v>4.2477245179306484</v>
      </c>
      <c r="DH54" s="3">
        <f t="shared" si="60"/>
        <v>8.41145898555604</v>
      </c>
      <c r="DI54" s="3">
        <f t="shared" si="61"/>
        <v>12.356768058949957</v>
      </c>
      <c r="DJ54" s="3">
        <f t="shared" si="62"/>
        <v>15.995907059222208</v>
      </c>
      <c r="DK54" s="3">
        <f t="shared" si="63"/>
        <v>19.264952601424458</v>
      </c>
      <c r="DL54" s="3">
        <f t="shared" si="64"/>
        <v>22.121802168494703</v>
      </c>
      <c r="DM54" s="3">
        <f t="shared" si="65"/>
        <v>24.543532790608836</v>
      </c>
      <c r="DN54" s="3">
        <f t="shared" si="66"/>
        <v>26.522796185954192</v>
      </c>
      <c r="DO54" s="3">
        <f t="shared" si="67"/>
        <v>28.063966072645936</v>
      </c>
      <c r="DP54" s="3">
        <f t="shared" si="68"/>
        <v>29.179484331925497</v>
      </c>
      <c r="DQ54" s="3">
        <f t="shared" si="69"/>
        <v>29.886619792346998</v>
      </c>
      <c r="DR54" s="3">
        <f t="shared" si="70"/>
        <v>30.204717776528046</v>
      </c>
      <c r="DS54" s="3">
        <f t="shared" si="71"/>
        <v>30.152956902662037</v>
      </c>
      <c r="DT54" s="3">
        <f t="shared" si="72"/>
        <v>29.748614260999336</v>
      </c>
      <c r="DU54" s="3">
        <f t="shared" si="73"/>
        <v>29.005849765681795</v>
      </c>
      <c r="DV54" s="3">
        <f t="shared" si="74"/>
        <v>27.935041445949906</v>
      </c>
      <c r="DW54" s="3">
        <f t="shared" si="75"/>
        <v>26.542727159551209</v>
      </c>
      <c r="DX54" s="3">
        <f t="shared" si="76"/>
        <v>24.83222819654091</v>
      </c>
      <c r="DY54" s="3">
        <f t="shared" si="77"/>
        <v>22.805038637431835</v>
      </c>
      <c r="DZ54" s="3">
        <f t="shared" si="78"/>
        <v>20.463048570996516</v>
      </c>
      <c r="EA54" s="3">
        <f t="shared" si="79"/>
        <v>17.811609319553881</v>
      </c>
      <c r="EB54" s="3">
        <f t="shared" si="80"/>
        <v>14.863316516421822</v>
      </c>
      <c r="EC54" s="3">
        <f t="shared" si="81"/>
        <v>11.642151271084364</v>
      </c>
      <c r="ED54" s="3">
        <f t="shared" si="82"/>
        <v>8.1872652741708425</v>
      </c>
      <c r="EE54" s="3">
        <f t="shared" si="83"/>
        <v>4.5552640992037787</v>
      </c>
      <c r="EF54" s="3">
        <v>0</v>
      </c>
    </row>
    <row r="55" spans="7:136" x14ac:dyDescent="0.3">
      <c r="G55" s="13"/>
      <c r="H55" s="3">
        <v>0</v>
      </c>
      <c r="I55" s="3">
        <f t="shared" si="5"/>
        <v>5.8231253164668164</v>
      </c>
      <c r="J55" s="3">
        <f t="shared" si="6"/>
        <v>10.486035458651498</v>
      </c>
      <c r="K55" s="3">
        <f t="shared" si="7"/>
        <v>14.894630183129463</v>
      </c>
      <c r="L55" s="3">
        <f t="shared" si="8"/>
        <v>18.957908300416374</v>
      </c>
      <c r="M55" s="3">
        <f t="shared" si="9"/>
        <v>22.605988775724789</v>
      </c>
      <c r="N55" s="3">
        <f t="shared" si="10"/>
        <v>25.790453273551595</v>
      </c>
      <c r="O55" s="3">
        <f t="shared" si="11"/>
        <v>28.482601968447973</v>
      </c>
      <c r="P55" s="3">
        <f t="shared" si="12"/>
        <v>30.670480486000063</v>
      </c>
      <c r="Q55" s="3">
        <f t="shared" si="13"/>
        <v>32.355362456932426</v>
      </c>
      <c r="R55" s="3">
        <f t="shared" si="14"/>
        <v>33.548158502539017</v>
      </c>
      <c r="S55" s="3">
        <f t="shared" si="15"/>
        <v>34.266043355525177</v>
      </c>
      <c r="T55" s="3">
        <f t="shared" si="16"/>
        <v>34.529470227456173</v>
      </c>
      <c r="U55" s="3">
        <f t="shared" si="17"/>
        <v>34.359670691079614</v>
      </c>
      <c r="V55" s="3">
        <f t="shared" si="18"/>
        <v>33.776705180382834</v>
      </c>
      <c r="W55" s="3">
        <f t="shared" si="19"/>
        <v>32.798119196304519</v>
      </c>
      <c r="X55" s="3">
        <f t="shared" si="20"/>
        <v>31.438261474311659</v>
      </c>
      <c r="Y55" s="3">
        <f t="shared" si="21"/>
        <v>29.70832310531199</v>
      </c>
      <c r="Z55" s="3">
        <f t="shared" si="22"/>
        <v>27.617151980816544</v>
      </c>
      <c r="AA55" s="3">
        <f t="shared" si="23"/>
        <v>25.172874737923546</v>
      </c>
      <c r="AB55" s="3">
        <f t="shared" si="24"/>
        <v>22.385305669493604</v>
      </c>
      <c r="AC55" s="3">
        <f t="shared" si="25"/>
        <v>19.26902348722135</v>
      </c>
      <c r="AD55" s="3">
        <f t="shared" si="26"/>
        <v>15.846838536594035</v>
      </c>
      <c r="AE55" s="3">
        <f t="shared" si="27"/>
        <v>12.153152992849238</v>
      </c>
      <c r="AF55" s="3">
        <f t="shared" si="28"/>
        <v>8.2364637658628581</v>
      </c>
      <c r="AG55" s="3">
        <f t="shared" si="29"/>
        <v>4.1600603913660104</v>
      </c>
      <c r="AH55" s="3">
        <v>0</v>
      </c>
      <c r="AI55"/>
      <c r="AJ55"/>
      <c r="AK55"/>
      <c r="AL55"/>
      <c r="AO55" s="19"/>
      <c r="AP55" s="3">
        <f t="shared" si="30"/>
        <v>0</v>
      </c>
      <c r="AQ55" s="3">
        <f t="shared" si="31"/>
        <v>-21032980.694574192</v>
      </c>
      <c r="AR55" s="3">
        <f t="shared" si="32"/>
        <v>-37867975.232709728</v>
      </c>
      <c r="AS55" s="3">
        <f t="shared" si="33"/>
        <v>-53773351.776612125</v>
      </c>
      <c r="AT55" s="3">
        <f t="shared" si="34"/>
        <v>-68419462.200257018</v>
      </c>
      <c r="AU55" s="3">
        <f t="shared" si="35"/>
        <v>-81555244.592602029</v>
      </c>
      <c r="AV55" s="3">
        <f t="shared" si="36"/>
        <v>-93008647.956858799</v>
      </c>
      <c r="AW55" s="3">
        <f t="shared" si="37"/>
        <v>-102679550.72188696</v>
      </c>
      <c r="AX55" s="3">
        <f t="shared" si="38"/>
        <v>-110528436.47184499</v>
      </c>
      <c r="AY55" s="3">
        <f t="shared" si="39"/>
        <v>-116563321.48108867</v>
      </c>
      <c r="AZ55" s="3">
        <f t="shared" si="40"/>
        <v>-120826590.19000277</v>
      </c>
      <c r="BA55" s="3">
        <f t="shared" si="41"/>
        <v>-123382731.00959013</v>
      </c>
      <c r="BB55" s="3">
        <f t="shared" si="42"/>
        <v>-124307529.55860446</v>
      </c>
      <c r="BC55" s="3">
        <f t="shared" si="43"/>
        <v>-123679035.75865112</v>
      </c>
      <c r="BD55" s="3">
        <f t="shared" si="44"/>
        <v>-121570516.1575924</v>
      </c>
      <c r="BE55" s="3">
        <f t="shared" si="45"/>
        <v>-118045578.40356876</v>
      </c>
      <c r="BF55" s="3">
        <f t="shared" si="46"/>
        <v>-113155668.21301924</v>
      </c>
      <c r="BG55" s="3">
        <f t="shared" si="47"/>
        <v>-106940157.55386241</v>
      </c>
      <c r="BH55" s="3">
        <f t="shared" si="48"/>
        <v>-99429235.994135514</v>
      </c>
      <c r="BI55" s="3">
        <f t="shared" si="49"/>
        <v>-90649749.948771447</v>
      </c>
      <c r="BJ55" s="3">
        <f t="shared" si="50"/>
        <v>-80633960.167699859</v>
      </c>
      <c r="BK55" s="3">
        <f t="shared" si="51"/>
        <v>-69430847.398223326</v>
      </c>
      <c r="BL55" s="3">
        <f t="shared" si="52"/>
        <v>-57119030.201508686</v>
      </c>
      <c r="BM55" s="3">
        <f t="shared" si="53"/>
        <v>-43819541.411617152</v>
      </c>
      <c r="BN55" s="3">
        <f t="shared" si="54"/>
        <v>-29705718.13793401</v>
      </c>
      <c r="BO55" s="3">
        <f t="shared" si="55"/>
        <v>-15006586.764362097</v>
      </c>
      <c r="BP55" s="3">
        <f t="shared" si="56"/>
        <v>0</v>
      </c>
      <c r="BW55" s="19"/>
      <c r="BX55" s="3">
        <f t="shared" si="57"/>
        <v>0.17426273458445043</v>
      </c>
      <c r="BY55" s="3">
        <f t="shared" ref="BY55:CW55" si="94">$C$19/($C$20-$C$21*BX55)</f>
        <v>0.17972039376148968</v>
      </c>
      <c r="BZ55" s="3">
        <f t="shared" si="94"/>
        <v>0.17989684606081083</v>
      </c>
      <c r="CA55" s="3">
        <f t="shared" si="94"/>
        <v>0.179902556745832</v>
      </c>
      <c r="CB55" s="3">
        <f t="shared" si="94"/>
        <v>0.17990274157194241</v>
      </c>
      <c r="CC55" s="3">
        <f t="shared" si="94"/>
        <v>0.17990274755383903</v>
      </c>
      <c r="CD55" s="3">
        <f t="shared" si="94"/>
        <v>0.17990274774744311</v>
      </c>
      <c r="CE55" s="3">
        <f t="shared" si="94"/>
        <v>0.1799027477537091</v>
      </c>
      <c r="CF55" s="3">
        <f t="shared" si="94"/>
        <v>0.17990274775391188</v>
      </c>
      <c r="CG55" s="3">
        <f t="shared" si="94"/>
        <v>0.17990274775391843</v>
      </c>
      <c r="CH55" s="3">
        <f t="shared" si="94"/>
        <v>0.17990274775391865</v>
      </c>
      <c r="CI55" s="3">
        <f t="shared" si="94"/>
        <v>0.17990274775391865</v>
      </c>
      <c r="CJ55" s="3">
        <f t="shared" si="94"/>
        <v>0.17990274775391865</v>
      </c>
      <c r="CK55" s="3">
        <f t="shared" si="94"/>
        <v>0.17990274775391865</v>
      </c>
      <c r="CL55" s="3">
        <f t="shared" si="94"/>
        <v>0.17990274775391865</v>
      </c>
      <c r="CM55" s="3">
        <f t="shared" si="94"/>
        <v>0.17990274775391865</v>
      </c>
      <c r="CN55" s="3">
        <f t="shared" si="94"/>
        <v>0.17990274775391865</v>
      </c>
      <c r="CO55" s="3">
        <f t="shared" si="94"/>
        <v>0.17990274775391865</v>
      </c>
      <c r="CP55" s="3">
        <f t="shared" si="94"/>
        <v>0.17990274775391865</v>
      </c>
      <c r="CQ55" s="3">
        <f t="shared" si="94"/>
        <v>0.17990274775391865</v>
      </c>
      <c r="CR55" s="3">
        <f t="shared" si="94"/>
        <v>0.17990274775391865</v>
      </c>
      <c r="CS55" s="3">
        <f t="shared" si="94"/>
        <v>0.17990274775391865</v>
      </c>
      <c r="CT55" s="3">
        <f t="shared" si="94"/>
        <v>0.17990274775391865</v>
      </c>
      <c r="CU55" s="3">
        <f t="shared" si="94"/>
        <v>0.17990274775391865</v>
      </c>
      <c r="CV55" s="3">
        <f t="shared" si="94"/>
        <v>0.17990274775391865</v>
      </c>
      <c r="CW55" s="3">
        <f t="shared" si="94"/>
        <v>0.17990274775391865</v>
      </c>
      <c r="CX55" s="3">
        <v>0</v>
      </c>
      <c r="DE55" s="19"/>
      <c r="DF55" s="3">
        <f t="shared" si="59"/>
        <v>0</v>
      </c>
      <c r="DG55" s="3">
        <f t="shared" si="59"/>
        <v>3.9385708948410261</v>
      </c>
      <c r="DH55" s="3">
        <f t="shared" si="60"/>
        <v>7.8065384654643504</v>
      </c>
      <c r="DI55" s="3">
        <f t="shared" si="61"/>
        <v>11.484054009331526</v>
      </c>
      <c r="DJ55" s="3">
        <f t="shared" si="62"/>
        <v>14.891028943718926</v>
      </c>
      <c r="DK55" s="3">
        <f t="shared" si="63"/>
        <v>17.966215371153957</v>
      </c>
      <c r="DL55" s="3">
        <f t="shared" si="64"/>
        <v>20.666354916431072</v>
      </c>
      <c r="DM55" s="3">
        <f t="shared" si="65"/>
        <v>22.964898254090048</v>
      </c>
      <c r="DN55" s="3">
        <f t="shared" si="66"/>
        <v>24.849661875424157</v>
      </c>
      <c r="DO55" s="3">
        <f t="shared" si="67"/>
        <v>26.319956560241671</v>
      </c>
      <c r="DP55" s="3">
        <f t="shared" si="68"/>
        <v>27.383603148225134</v>
      </c>
      <c r="DQ55" s="3">
        <f t="shared" si="69"/>
        <v>28.054096783118688</v>
      </c>
      <c r="DR55" s="3">
        <f t="shared" si="70"/>
        <v>28.348071058211165</v>
      </c>
      <c r="DS55" s="3">
        <f t="shared" si="71"/>
        <v>28.283148619054725</v>
      </c>
      <c r="DT55" s="3">
        <f t="shared" si="72"/>
        <v>27.876233415807107</v>
      </c>
      <c r="DU55" s="3">
        <f t="shared" si="73"/>
        <v>27.142289572469693</v>
      </c>
      <c r="DV55" s="3">
        <f t="shared" si="74"/>
        <v>26.093652516504804</v>
      </c>
      <c r="DW55" s="3">
        <f t="shared" si="75"/>
        <v>24.739921578825516</v>
      </c>
      <c r="DX55" s="3">
        <f t="shared" si="76"/>
        <v>23.088482646598894</v>
      </c>
      <c r="DY55" s="3">
        <f t="shared" si="77"/>
        <v>21.145696738670274</v>
      </c>
      <c r="DZ55" s="3">
        <f t="shared" si="78"/>
        <v>18.918755397607686</v>
      </c>
      <c r="EA55" s="3">
        <f t="shared" si="79"/>
        <v>16.418133691275397</v>
      </c>
      <c r="EB55" s="3">
        <f t="shared" si="80"/>
        <v>13.660452919306696</v>
      </c>
      <c r="EC55" s="3">
        <f t="shared" si="81"/>
        <v>10.671390529594921</v>
      </c>
      <c r="ED55" s="3">
        <f t="shared" si="82"/>
        <v>7.4880574706338709</v>
      </c>
      <c r="EE55" s="3">
        <f t="shared" si="83"/>
        <v>4.1600603913660104</v>
      </c>
      <c r="EF55" s="3">
        <v>0</v>
      </c>
    </row>
    <row r="56" spans="7:136" x14ac:dyDescent="0.3">
      <c r="G56" s="13"/>
      <c r="H56" s="3">
        <v>0</v>
      </c>
      <c r="I56" s="3">
        <f t="shared" si="5"/>
        <v>5.4928469849435233</v>
      </c>
      <c r="J56" s="3">
        <f t="shared" si="6"/>
        <v>9.8964236388926423</v>
      </c>
      <c r="K56" s="3">
        <f t="shared" si="7"/>
        <v>14.067943109287938</v>
      </c>
      <c r="L56" s="3">
        <f t="shared" si="8"/>
        <v>17.922149456525421</v>
      </c>
      <c r="M56" s="3">
        <f t="shared" si="9"/>
        <v>21.391728355600566</v>
      </c>
      <c r="N56" s="3">
        <f t="shared" si="10"/>
        <v>24.428184787435171</v>
      </c>
      <c r="O56" s="3">
        <f t="shared" si="11"/>
        <v>27.000892098729818</v>
      </c>
      <c r="P56" s="3">
        <f t="shared" si="12"/>
        <v>29.094924356441034</v>
      </c>
      <c r="Q56" s="3">
        <f t="shared" si="13"/>
        <v>30.70822190672796</v>
      </c>
      <c r="R56" s="3">
        <f t="shared" si="14"/>
        <v>31.848514357042621</v>
      </c>
      <c r="S56" s="3">
        <f t="shared" si="15"/>
        <v>32.530299282062145</v>
      </c>
      <c r="T56" s="3">
        <f t="shared" si="16"/>
        <v>32.772076401092171</v>
      </c>
      <c r="U56" s="3">
        <f t="shared" si="17"/>
        <v>32.593970961350429</v>
      </c>
      <c r="V56" s="3">
        <f t="shared" si="18"/>
        <v>32.015841068431364</v>
      </c>
      <c r="W56" s="3">
        <f t="shared" si="19"/>
        <v>31.055942828613272</v>
      </c>
      <c r="X56" s="3">
        <f t="shared" si="20"/>
        <v>29.730215499269224</v>
      </c>
      <c r="Y56" s="3">
        <f t="shared" si="21"/>
        <v>28.052238253975503</v>
      </c>
      <c r="Z56" s="3">
        <f t="shared" si="22"/>
        <v>26.033892755439979</v>
      </c>
      <c r="AA56" s="3">
        <f t="shared" si="23"/>
        <v>23.686732938017585</v>
      </c>
      <c r="AB56" s="3">
        <f t="shared" si="24"/>
        <v>21.024005722816938</v>
      </c>
      <c r="AC56" s="3">
        <f t="shared" si="25"/>
        <v>18.063174651113165</v>
      </c>
      <c r="AD56" s="3">
        <f t="shared" si="26"/>
        <v>14.828667960461534</v>
      </c>
      <c r="AE56" s="3">
        <f t="shared" si="27"/>
        <v>11.354411618879057</v>
      </c>
      <c r="AF56" s="3">
        <f t="shared" si="28"/>
        <v>7.6855500436580755</v>
      </c>
      <c r="AG56" s="3">
        <f t="shared" si="29"/>
        <v>3.8786757844898982</v>
      </c>
      <c r="AH56" s="3">
        <v>0</v>
      </c>
      <c r="AI56"/>
      <c r="AJ56"/>
      <c r="AK56"/>
      <c r="AL56"/>
      <c r="AO56" s="19"/>
      <c r="AP56" s="3">
        <f t="shared" si="30"/>
        <v>0</v>
      </c>
      <c r="AQ56" s="3">
        <f t="shared" si="31"/>
        <v>-19835091.294612095</v>
      </c>
      <c r="AR56" s="3">
        <f t="shared" si="32"/>
        <v>-35731085.61448846</v>
      </c>
      <c r="AS56" s="3">
        <f t="shared" si="33"/>
        <v>-50780322.125437334</v>
      </c>
      <c r="AT56" s="3">
        <f t="shared" si="34"/>
        <v>-64673819.630508766</v>
      </c>
      <c r="AU56" s="3">
        <f t="shared" si="35"/>
        <v>-77169211.96462667</v>
      </c>
      <c r="AV56" s="3">
        <f t="shared" si="36"/>
        <v>-88093411.667080075</v>
      </c>
      <c r="AW56" s="3">
        <f t="shared" si="37"/>
        <v>-97338610.710311413</v>
      </c>
      <c r="AX56" s="3">
        <f t="shared" si="38"/>
        <v>-104853975.21010999</v>
      </c>
      <c r="AY56" s="3">
        <f t="shared" si="39"/>
        <v>-110635068.30593058</v>
      </c>
      <c r="AZ56" s="3">
        <f t="shared" si="40"/>
        <v>-114712523.5256176</v>
      </c>
      <c r="BA56" s="3">
        <f t="shared" si="41"/>
        <v>-117141012.67388619</v>
      </c>
      <c r="BB56" s="3">
        <f t="shared" si="42"/>
        <v>-117989193.70883374</v>
      </c>
      <c r="BC56" s="3">
        <f t="shared" si="43"/>
        <v>-117331092.51290564</v>
      </c>
      <c r="BD56" s="3">
        <f t="shared" si="44"/>
        <v>-115239241.10276546</v>
      </c>
      <c r="BE56" s="3">
        <f t="shared" si="45"/>
        <v>-111779828.4668391</v>
      </c>
      <c r="BF56" s="3">
        <f t="shared" si="46"/>
        <v>-107010086.15540178</v>
      </c>
      <c r="BG56" s="3">
        <f t="shared" si="47"/>
        <v>-100978100.33683224</v>
      </c>
      <c r="BH56" s="3">
        <f t="shared" si="48"/>
        <v>-93725187.763929322</v>
      </c>
      <c r="BI56" s="3">
        <f t="shared" si="49"/>
        <v>-85290864.56559822</v>
      </c>
      <c r="BJ56" s="3">
        <f t="shared" si="50"/>
        <v>-75720238.629819676</v>
      </c>
      <c r="BK56" s="3">
        <f t="shared" si="51"/>
        <v>-65073331.668157086</v>
      </c>
      <c r="BL56" s="3">
        <f t="shared" si="52"/>
        <v>-53435361.109584905</v>
      </c>
      <c r="BM56" s="3">
        <f t="shared" si="53"/>
        <v>-40926401.862156056</v>
      </c>
      <c r="BN56" s="3">
        <f t="shared" si="54"/>
        <v>-27708211.656028569</v>
      </c>
      <c r="BO56" s="3">
        <f t="shared" si="55"/>
        <v>-13985600.450286923</v>
      </c>
      <c r="BP56" s="3">
        <f t="shared" si="56"/>
        <v>0</v>
      </c>
      <c r="BW56" s="19"/>
      <c r="BX56" s="3">
        <f t="shared" si="57"/>
        <v>0.17426273458445043</v>
      </c>
      <c r="BY56" s="3">
        <f t="shared" ref="BY56:CW56" si="95">$C$19/($C$20-$C$21*BX56)</f>
        <v>0.17972039376148968</v>
      </c>
      <c r="BZ56" s="3">
        <f t="shared" si="95"/>
        <v>0.17989684606081083</v>
      </c>
      <c r="CA56" s="3">
        <f t="shared" si="95"/>
        <v>0.179902556745832</v>
      </c>
      <c r="CB56" s="3">
        <f t="shared" si="95"/>
        <v>0.17990274157194241</v>
      </c>
      <c r="CC56" s="3">
        <f t="shared" si="95"/>
        <v>0.17990274755383903</v>
      </c>
      <c r="CD56" s="3">
        <f t="shared" si="95"/>
        <v>0.17990274774744311</v>
      </c>
      <c r="CE56" s="3">
        <f t="shared" si="95"/>
        <v>0.1799027477537091</v>
      </c>
      <c r="CF56" s="3">
        <f t="shared" si="95"/>
        <v>0.17990274775391188</v>
      </c>
      <c r="CG56" s="3">
        <f t="shared" si="95"/>
        <v>0.17990274775391843</v>
      </c>
      <c r="CH56" s="3">
        <f t="shared" si="95"/>
        <v>0.17990274775391865</v>
      </c>
      <c r="CI56" s="3">
        <f t="shared" si="95"/>
        <v>0.17990274775391865</v>
      </c>
      <c r="CJ56" s="3">
        <f t="shared" si="95"/>
        <v>0.17990274775391865</v>
      </c>
      <c r="CK56" s="3">
        <f t="shared" si="95"/>
        <v>0.17990274775391865</v>
      </c>
      <c r="CL56" s="3">
        <f t="shared" si="95"/>
        <v>0.17990274775391865</v>
      </c>
      <c r="CM56" s="3">
        <f t="shared" si="95"/>
        <v>0.17990274775391865</v>
      </c>
      <c r="CN56" s="3">
        <f t="shared" si="95"/>
        <v>0.17990274775391865</v>
      </c>
      <c r="CO56" s="3">
        <f t="shared" si="95"/>
        <v>0.17990274775391865</v>
      </c>
      <c r="CP56" s="3">
        <f t="shared" si="95"/>
        <v>0.17990274775391865</v>
      </c>
      <c r="CQ56" s="3">
        <f t="shared" si="95"/>
        <v>0.17990274775391865</v>
      </c>
      <c r="CR56" s="3">
        <f t="shared" si="95"/>
        <v>0.17990274775391865</v>
      </c>
      <c r="CS56" s="3">
        <f t="shared" si="95"/>
        <v>0.17990274775391865</v>
      </c>
      <c r="CT56" s="3">
        <f t="shared" si="95"/>
        <v>0.17990274775391865</v>
      </c>
      <c r="CU56" s="3">
        <f t="shared" si="95"/>
        <v>0.17990274775391865</v>
      </c>
      <c r="CV56" s="3">
        <f t="shared" si="95"/>
        <v>0.17990274775391865</v>
      </c>
      <c r="CW56" s="3">
        <f t="shared" si="95"/>
        <v>0.17990274775391865</v>
      </c>
      <c r="CX56" s="3">
        <v>0</v>
      </c>
      <c r="DE56" s="19"/>
      <c r="DF56" s="3">
        <f t="shared" si="59"/>
        <v>0</v>
      </c>
      <c r="DG56" s="3">
        <f t="shared" si="59"/>
        <v>3.7142578317312229</v>
      </c>
      <c r="DH56" s="3">
        <f t="shared" si="60"/>
        <v>7.3656450429688247</v>
      </c>
      <c r="DI56" s="3">
        <f t="shared" si="61"/>
        <v>10.843702599678092</v>
      </c>
      <c r="DJ56" s="3">
        <f t="shared" si="62"/>
        <v>14.07371887839062</v>
      </c>
      <c r="DK56" s="3">
        <f t="shared" si="63"/>
        <v>16.997030794588085</v>
      </c>
      <c r="DL56" s="3">
        <f t="shared" si="64"/>
        <v>19.570650107241452</v>
      </c>
      <c r="DM56" s="3">
        <f t="shared" si="65"/>
        <v>21.76663526131976</v>
      </c>
      <c r="DN56" s="3">
        <f t="shared" si="66"/>
        <v>23.570430856783801</v>
      </c>
      <c r="DO56" s="3">
        <f t="shared" si="67"/>
        <v>24.978586662015871</v>
      </c>
      <c r="DP56" s="3">
        <f t="shared" si="68"/>
        <v>25.996224130942313</v>
      </c>
      <c r="DQ56" s="3">
        <f t="shared" si="69"/>
        <v>26.634512687904312</v>
      </c>
      <c r="DR56" s="3">
        <f t="shared" si="70"/>
        <v>26.908331464933795</v>
      </c>
      <c r="DS56" s="3">
        <f t="shared" si="71"/>
        <v>26.834233181486869</v>
      </c>
      <c r="DT56" s="3">
        <f t="shared" si="72"/>
        <v>26.428791619475231</v>
      </c>
      <c r="DU56" s="3">
        <f t="shared" si="73"/>
        <v>25.707395368978599</v>
      </c>
      <c r="DV56" s="3">
        <f t="shared" si="74"/>
        <v>24.683540756731443</v>
      </c>
      <c r="DW56" s="3">
        <f t="shared" si="75"/>
        <v>23.368669412541013</v>
      </c>
      <c r="DX56" s="3">
        <f t="shared" si="76"/>
        <v>21.772584414577363</v>
      </c>
      <c r="DY56" s="3">
        <f t="shared" si="77"/>
        <v>19.904456539688706</v>
      </c>
      <c r="DZ56" s="3">
        <f t="shared" si="78"/>
        <v>17.774390969922749</v>
      </c>
      <c r="EA56" s="3">
        <f t="shared" si="79"/>
        <v>15.39545653949564</v>
      </c>
      <c r="EB56" s="3">
        <f t="shared" si="80"/>
        <v>12.785978111096171</v>
      </c>
      <c r="EC56" s="3">
        <f t="shared" si="81"/>
        <v>9.9717600480247199</v>
      </c>
      <c r="ED56" s="3">
        <f t="shared" si="82"/>
        <v>6.9877656123817564</v>
      </c>
      <c r="EE56" s="3">
        <f t="shared" si="83"/>
        <v>3.8786757844898982</v>
      </c>
      <c r="EF56" s="3">
        <v>0</v>
      </c>
    </row>
    <row r="57" spans="7:136" x14ac:dyDescent="0.3">
      <c r="G57" s="13"/>
      <c r="H57" s="3">
        <v>0</v>
      </c>
      <c r="I57" s="3">
        <f t="shared" si="5"/>
        <v>5.268790978691273</v>
      </c>
      <c r="J57" s="3">
        <f t="shared" si="6"/>
        <v>9.4940767495119225</v>
      </c>
      <c r="K57" s="3">
        <f t="shared" si="7"/>
        <v>13.498873885082176</v>
      </c>
      <c r="L57" s="3">
        <f t="shared" si="8"/>
        <v>17.20165457969664</v>
      </c>
      <c r="M57" s="3">
        <f t="shared" si="9"/>
        <v>20.537530330734818</v>
      </c>
      <c r="N57" s="3">
        <f t="shared" si="10"/>
        <v>23.459172121994897</v>
      </c>
      <c r="O57" s="3">
        <f t="shared" si="11"/>
        <v>25.936062861350106</v>
      </c>
      <c r="P57" s="3">
        <f t="shared" si="12"/>
        <v>27.952616512415215</v>
      </c>
      <c r="Q57" s="3">
        <f t="shared" si="13"/>
        <v>29.505648496722198</v>
      </c>
      <c r="R57" s="3">
        <f t="shared" si="14"/>
        <v>30.601578112929285</v>
      </c>
      <c r="S57" s="3">
        <f t="shared" si="15"/>
        <v>31.253638695868499</v>
      </c>
      <c r="T57" s="3">
        <f t="shared" si="16"/>
        <v>31.47928781735202</v>
      </c>
      <c r="U57" s="3">
        <f t="shared" si="17"/>
        <v>31.297952374317898</v>
      </c>
      <c r="V57" s="3">
        <f t="shared" si="18"/>
        <v>30.729207528172203</v>
      </c>
      <c r="W57" s="3">
        <f t="shared" si="19"/>
        <v>29.791466966560119</v>
      </c>
      <c r="X57" s="3">
        <f t="shared" si="20"/>
        <v>28.501247615927525</v>
      </c>
      <c r="Y57" s="3">
        <f t="shared" si="21"/>
        <v>26.873058087844896</v>
      </c>
      <c r="Z57" s="3">
        <f t="shared" si="22"/>
        <v>24.919940295617685</v>
      </c>
      <c r="AA57" s="3">
        <f t="shared" si="23"/>
        <v>22.654660797707173</v>
      </c>
      <c r="AB57" s="3">
        <f t="shared" si="24"/>
        <v>20.091494734801891</v>
      </c>
      <c r="AC57" s="3">
        <f t="shared" si="25"/>
        <v>17.248463301707663</v>
      </c>
      <c r="AD57" s="3">
        <f t="shared" si="26"/>
        <v>14.14977188189425</v>
      </c>
      <c r="AE57" s="3">
        <f t="shared" si="27"/>
        <v>10.828057225240778</v>
      </c>
      <c r="AF57" s="3">
        <f t="shared" si="28"/>
        <v>7.3259164948485571</v>
      </c>
      <c r="AG57" s="3">
        <f t="shared" si="29"/>
        <v>3.6961198414178371</v>
      </c>
      <c r="AH57" s="3">
        <v>0</v>
      </c>
      <c r="AI57"/>
      <c r="AJ57"/>
      <c r="AK57"/>
      <c r="AL57"/>
      <c r="AO57" s="19"/>
      <c r="AP57" s="3">
        <f t="shared" si="30"/>
        <v>0</v>
      </c>
      <c r="AQ57" s="3">
        <f t="shared" si="31"/>
        <v>-19024728.313221175</v>
      </c>
      <c r="AR57" s="3">
        <f t="shared" si="32"/>
        <v>-34276362.025450833</v>
      </c>
      <c r="AS57" s="3">
        <f t="shared" si="33"/>
        <v>-48723820.711031675</v>
      </c>
      <c r="AT57" s="3">
        <f t="shared" si="34"/>
        <v>-62071674.783971556</v>
      </c>
      <c r="AU57" s="3">
        <f t="shared" si="35"/>
        <v>-74086221.148073435</v>
      </c>
      <c r="AV57" s="3">
        <f t="shared" si="36"/>
        <v>-84598360.768471807</v>
      </c>
      <c r="AW57" s="3">
        <f t="shared" si="37"/>
        <v>-93500403.48780407</v>
      </c>
      <c r="AX57" s="3">
        <f t="shared" si="38"/>
        <v>-100738854.39683935</v>
      </c>
      <c r="AY57" s="3">
        <f t="shared" si="39"/>
        <v>-106304972.2148329</v>
      </c>
      <c r="AZ57" s="3">
        <f t="shared" si="40"/>
        <v>-110224466.94383526</v>
      </c>
      <c r="BA57" s="3">
        <f t="shared" si="41"/>
        <v>-112547305.35699306</v>
      </c>
      <c r="BB57" s="3">
        <f t="shared" si="42"/>
        <v>-113338289.38058005</v>
      </c>
      <c r="BC57" s="3">
        <f t="shared" si="43"/>
        <v>-112668870.48939699</v>
      </c>
      <c r="BD57" s="3">
        <f t="shared" si="44"/>
        <v>-110610541.38787641</v>
      </c>
      <c r="BE57" s="3">
        <f t="shared" si="45"/>
        <v>-107230076.08167766</v>
      </c>
      <c r="BF57" s="3">
        <f t="shared" si="46"/>
        <v>-102586844.36687346</v>
      </c>
      <c r="BG57" s="3">
        <f t="shared" si="47"/>
        <v>-96732383.32356526</v>
      </c>
      <c r="BH57" s="3">
        <f t="shared" si="48"/>
        <v>-89712343.941167846</v>
      </c>
      <c r="BI57" s="3">
        <f t="shared" si="49"/>
        <v>-81570820.492330045</v>
      </c>
      <c r="BJ57" s="3">
        <f t="shared" si="50"/>
        <v>-72356884.761290044</v>
      </c>
      <c r="BK57" s="3">
        <f t="shared" si="51"/>
        <v>-62132856.787854873</v>
      </c>
      <c r="BL57" s="3">
        <f t="shared" si="52"/>
        <v>-50983428.752137139</v>
      </c>
      <c r="BM57" s="3">
        <f t="shared" si="53"/>
        <v>-39024233.805305287</v>
      </c>
      <c r="BN57" s="3">
        <f t="shared" si="54"/>
        <v>-26407906.549652584</v>
      </c>
      <c r="BO57" s="3">
        <f t="shared" si="55"/>
        <v>-13325331.875379035</v>
      </c>
      <c r="BP57" s="3">
        <f t="shared" si="56"/>
        <v>0</v>
      </c>
      <c r="BW57" s="19"/>
      <c r="BX57" s="3">
        <f t="shared" si="57"/>
        <v>0.17426273458445043</v>
      </c>
      <c r="BY57" s="3">
        <f t="shared" ref="BY57:CW57" si="96">$C$19/($C$20-$C$21*BX57)</f>
        <v>0.17972039376148968</v>
      </c>
      <c r="BZ57" s="3">
        <f t="shared" si="96"/>
        <v>0.17989684606081083</v>
      </c>
      <c r="CA57" s="3">
        <f t="shared" si="96"/>
        <v>0.179902556745832</v>
      </c>
      <c r="CB57" s="3">
        <f t="shared" si="96"/>
        <v>0.17990274157194241</v>
      </c>
      <c r="CC57" s="3">
        <f t="shared" si="96"/>
        <v>0.17990274755383903</v>
      </c>
      <c r="CD57" s="3">
        <f t="shared" si="96"/>
        <v>0.17990274774744311</v>
      </c>
      <c r="CE57" s="3">
        <f t="shared" si="96"/>
        <v>0.1799027477537091</v>
      </c>
      <c r="CF57" s="3">
        <f t="shared" si="96"/>
        <v>0.17990274775391188</v>
      </c>
      <c r="CG57" s="3">
        <f t="shared" si="96"/>
        <v>0.17990274775391843</v>
      </c>
      <c r="CH57" s="3">
        <f t="shared" si="96"/>
        <v>0.17990274775391865</v>
      </c>
      <c r="CI57" s="3">
        <f t="shared" si="96"/>
        <v>0.17990274775391865</v>
      </c>
      <c r="CJ57" s="3">
        <f t="shared" si="96"/>
        <v>0.17990274775391865</v>
      </c>
      <c r="CK57" s="3">
        <f t="shared" si="96"/>
        <v>0.17990274775391865</v>
      </c>
      <c r="CL57" s="3">
        <f t="shared" si="96"/>
        <v>0.17990274775391865</v>
      </c>
      <c r="CM57" s="3">
        <f t="shared" si="96"/>
        <v>0.17990274775391865</v>
      </c>
      <c r="CN57" s="3">
        <f t="shared" si="96"/>
        <v>0.17990274775391865</v>
      </c>
      <c r="CO57" s="3">
        <f t="shared" si="96"/>
        <v>0.17990274775391865</v>
      </c>
      <c r="CP57" s="3">
        <f t="shared" si="96"/>
        <v>0.17990274775391865</v>
      </c>
      <c r="CQ57" s="3">
        <f t="shared" si="96"/>
        <v>0.17990274775391865</v>
      </c>
      <c r="CR57" s="3">
        <f t="shared" si="96"/>
        <v>0.17990274775391865</v>
      </c>
      <c r="CS57" s="3">
        <f t="shared" si="96"/>
        <v>0.17990274775391865</v>
      </c>
      <c r="CT57" s="3">
        <f t="shared" si="96"/>
        <v>0.17990274775391865</v>
      </c>
      <c r="CU57" s="3">
        <f t="shared" si="96"/>
        <v>0.17990274775391865</v>
      </c>
      <c r="CV57" s="3">
        <f t="shared" si="96"/>
        <v>0.17990274775391865</v>
      </c>
      <c r="CW57" s="3">
        <f t="shared" si="96"/>
        <v>0.17990274775391865</v>
      </c>
      <c r="CX57" s="3">
        <v>0</v>
      </c>
      <c r="DE57" s="19"/>
      <c r="DF57" s="3">
        <f t="shared" si="59"/>
        <v>0</v>
      </c>
      <c r="DG57" s="3">
        <f t="shared" si="59"/>
        <v>3.5625117668671864</v>
      </c>
      <c r="DH57" s="3">
        <f t="shared" si="60"/>
        <v>7.0656719122129958</v>
      </c>
      <c r="DI57" s="3">
        <f t="shared" si="61"/>
        <v>10.4042522459361</v>
      </c>
      <c r="DJ57" s="3">
        <f t="shared" si="62"/>
        <v>13.506896568080526</v>
      </c>
      <c r="DK57" s="3">
        <f t="shared" si="63"/>
        <v>16.317160810649511</v>
      </c>
      <c r="DL57" s="3">
        <f t="shared" si="64"/>
        <v>18.793203147487599</v>
      </c>
      <c r="DM57" s="3">
        <f t="shared" si="65"/>
        <v>20.907310343860907</v>
      </c>
      <c r="DN57" s="3">
        <f t="shared" si="66"/>
        <v>22.644469273593813</v>
      </c>
      <c r="DO57" s="3">
        <f t="shared" si="67"/>
        <v>24.000340508600051</v>
      </c>
      <c r="DP57" s="3">
        <f t="shared" si="68"/>
        <v>24.978962634234342</v>
      </c>
      <c r="DQ57" s="3">
        <f t="shared" si="69"/>
        <v>25.590428320190416</v>
      </c>
      <c r="DR57" s="3">
        <f t="shared" si="70"/>
        <v>25.848700186140949</v>
      </c>
      <c r="DS57" s="3">
        <f t="shared" si="71"/>
        <v>25.769683503699316</v>
      </c>
      <c r="DT57" s="3">
        <f t="shared" si="72"/>
        <v>25.369640761267938</v>
      </c>
      <c r="DU57" s="3">
        <f t="shared" si="73"/>
        <v>24.664014206039933</v>
      </c>
      <c r="DV57" s="3">
        <f t="shared" si="74"/>
        <v>23.666710625373561</v>
      </c>
      <c r="DW57" s="3">
        <f t="shared" si="75"/>
        <v>22.389892354799674</v>
      </c>
      <c r="DX57" s="3">
        <f t="shared" si="76"/>
        <v>20.844304568677181</v>
      </c>
      <c r="DY57" s="3">
        <f t="shared" si="77"/>
        <v>19.040145688432922</v>
      </c>
      <c r="DZ57" s="3">
        <f t="shared" si="78"/>
        <v>16.988448792292054</v>
      </c>
      <c r="EA57" s="3">
        <f t="shared" si="79"/>
        <v>14.702880460063749</v>
      </c>
      <c r="EB57" s="3">
        <f t="shared" si="80"/>
        <v>12.201774634236761</v>
      </c>
      <c r="EC57" s="3">
        <f t="shared" si="81"/>
        <v>9.5101047180017666</v>
      </c>
      <c r="ED57" s="3">
        <f t="shared" si="82"/>
        <v>6.6609743793497103</v>
      </c>
      <c r="EE57" s="3">
        <f t="shared" si="83"/>
        <v>3.6961198414178371</v>
      </c>
      <c r="EF57" s="3">
        <v>0</v>
      </c>
    </row>
    <row r="58" spans="7:136" x14ac:dyDescent="0.3">
      <c r="G58" s="13"/>
      <c r="H58" s="3">
        <v>0</v>
      </c>
      <c r="I58" s="3">
        <f t="shared" si="5"/>
        <v>5.1400493963545211</v>
      </c>
      <c r="J58" s="3">
        <f t="shared" si="6"/>
        <v>9.259800679871109</v>
      </c>
      <c r="K58" s="3">
        <f t="shared" si="7"/>
        <v>13.16111070479651</v>
      </c>
      <c r="L58" s="3">
        <f t="shared" si="8"/>
        <v>16.764392592562977</v>
      </c>
      <c r="M58" s="3">
        <f t="shared" si="9"/>
        <v>20.007059124424121</v>
      </c>
      <c r="N58" s="3">
        <f t="shared" si="10"/>
        <v>22.844047146170528</v>
      </c>
      <c r="O58" s="3">
        <f t="shared" si="11"/>
        <v>25.246754016653536</v>
      </c>
      <c r="P58" s="3">
        <f t="shared" si="12"/>
        <v>27.200987011146637</v>
      </c>
      <c r="Q58" s="3">
        <f t="shared" si="13"/>
        <v>28.704403486490254</v>
      </c>
      <c r="R58" s="3">
        <f t="shared" si="14"/>
        <v>29.763781784373855</v>
      </c>
      <c r="S58" s="3">
        <f t="shared" si="15"/>
        <v>30.392351548259562</v>
      </c>
      <c r="T58" s="3">
        <f t="shared" si="16"/>
        <v>30.607336220488467</v>
      </c>
      <c r="U58" s="3">
        <f t="shared" si="17"/>
        <v>30.427814537830475</v>
      </c>
      <c r="V58" s="3">
        <f t="shared" si="18"/>
        <v>29.872982484116797</v>
      </c>
      <c r="W58" s="3">
        <f t="shared" si="19"/>
        <v>28.960883692902375</v>
      </c>
      <c r="X58" s="3">
        <f t="shared" si="20"/>
        <v>27.707667958738522</v>
      </c>
      <c r="Y58" s="3">
        <f t="shared" si="21"/>
        <v>26.127429058705349</v>
      </c>
      <c r="Z58" s="3">
        <f t="shared" si="22"/>
        <v>24.232659649937762</v>
      </c>
      <c r="AA58" s="3">
        <f t="shared" si="23"/>
        <v>22.035336896114483</v>
      </c>
      <c r="AB58" s="3">
        <f t="shared" si="24"/>
        <v>19.548610203472432</v>
      </c>
      <c r="AC58" s="3">
        <f t="shared" si="25"/>
        <v>16.788992675519307</v>
      </c>
      <c r="AD58" s="3">
        <f t="shared" si="26"/>
        <v>13.778851266307859</v>
      </c>
      <c r="AE58" s="3">
        <f t="shared" si="27"/>
        <v>10.548843264158473</v>
      </c>
      <c r="AF58" s="3">
        <f t="shared" si="28"/>
        <v>7.1397719666134494</v>
      </c>
      <c r="AG58" s="3">
        <f t="shared" si="29"/>
        <v>3.6031823635570683</v>
      </c>
      <c r="AH58" s="3">
        <v>0</v>
      </c>
      <c r="AI58"/>
      <c r="AJ58"/>
      <c r="AK58"/>
      <c r="AL58"/>
      <c r="AO58" s="19"/>
      <c r="AP58" s="3">
        <f t="shared" si="30"/>
        <v>0</v>
      </c>
      <c r="AQ58" s="3">
        <f t="shared" si="31"/>
        <v>-18562062.361025818</v>
      </c>
      <c r="AR58" s="3">
        <f t="shared" si="32"/>
        <v>-33433814.511511851</v>
      </c>
      <c r="AS58" s="3">
        <f t="shared" si="33"/>
        <v>-47508098.6332881</v>
      </c>
      <c r="AT58" s="3">
        <f t="shared" si="34"/>
        <v>-60496742.322956458</v>
      </c>
      <c r="AU58" s="3">
        <f t="shared" si="35"/>
        <v>-72174679.340610519</v>
      </c>
      <c r="AV58" s="3">
        <f t="shared" si="36"/>
        <v>-82381243.83575882</v>
      </c>
      <c r="AW58" s="3">
        <f t="shared" si="37"/>
        <v>-91015777.598412827</v>
      </c>
      <c r="AX58" s="3">
        <f t="shared" si="38"/>
        <v>-98029813.941656858</v>
      </c>
      <c r="AY58" s="3">
        <f t="shared" si="39"/>
        <v>-103417566.72083248</v>
      </c>
      <c r="AZ58" s="3">
        <f t="shared" si="40"/>
        <v>-107205918.86249384</v>
      </c>
      <c r="BA58" s="3">
        <f t="shared" si="41"/>
        <v>-109444696.92337012</v>
      </c>
      <c r="BB58" s="3">
        <f t="shared" si="42"/>
        <v>-110197751.05082753</v>
      </c>
      <c r="BC58" s="3">
        <f t="shared" si="43"/>
        <v>-109535203.84872177</v>
      </c>
      <c r="BD58" s="3">
        <f t="shared" si="44"/>
        <v>-107527149.00700255</v>
      </c>
      <c r="BE58" s="3">
        <f t="shared" si="45"/>
        <v>-104239038.72895952</v>
      </c>
      <c r="BF58" s="3">
        <f t="shared" si="46"/>
        <v>-99728974.128727674</v>
      </c>
      <c r="BG58" s="3">
        <f t="shared" si="47"/>
        <v>-94047087.089165837</v>
      </c>
      <c r="BH58" s="3">
        <f t="shared" si="48"/>
        <v>-87237159.330700502</v>
      </c>
      <c r="BI58" s="3">
        <f t="shared" si="49"/>
        <v>-79340545.106762126</v>
      </c>
      <c r="BJ58" s="3">
        <f t="shared" si="50"/>
        <v>-70402321.23150456</v>
      </c>
      <c r="BK58" s="3">
        <f t="shared" si="51"/>
        <v>-60479346.788022809</v>
      </c>
      <c r="BL58" s="3">
        <f t="shared" si="52"/>
        <v>-49649535.984685391</v>
      </c>
      <c r="BM58" s="3">
        <f t="shared" si="53"/>
        <v>-38021106.182221062</v>
      </c>
      <c r="BN58" s="3">
        <f t="shared" si="54"/>
        <v>-25739887.903498601</v>
      </c>
      <c r="BO58" s="3">
        <f t="shared" si="55"/>
        <v>-12992130.927866509</v>
      </c>
      <c r="BP58" s="3">
        <f t="shared" si="56"/>
        <v>0</v>
      </c>
      <c r="BW58" s="19"/>
      <c r="BX58" s="3">
        <f t="shared" si="57"/>
        <v>0.17426273458445043</v>
      </c>
      <c r="BY58" s="3">
        <f t="shared" ref="BY58:CW58" si="97">$C$19/($C$20-$C$21*BX58)</f>
        <v>0.17972039376148968</v>
      </c>
      <c r="BZ58" s="3">
        <f t="shared" si="97"/>
        <v>0.17989684606081083</v>
      </c>
      <c r="CA58" s="3">
        <f t="shared" si="97"/>
        <v>0.179902556745832</v>
      </c>
      <c r="CB58" s="3">
        <f t="shared" si="97"/>
        <v>0.17990274157194241</v>
      </c>
      <c r="CC58" s="3">
        <f t="shared" si="97"/>
        <v>0.17990274755383903</v>
      </c>
      <c r="CD58" s="3">
        <f t="shared" si="97"/>
        <v>0.17990274774744311</v>
      </c>
      <c r="CE58" s="3">
        <f t="shared" si="97"/>
        <v>0.1799027477537091</v>
      </c>
      <c r="CF58" s="3">
        <f t="shared" si="97"/>
        <v>0.17990274775391188</v>
      </c>
      <c r="CG58" s="3">
        <f t="shared" si="97"/>
        <v>0.17990274775391843</v>
      </c>
      <c r="CH58" s="3">
        <f t="shared" si="97"/>
        <v>0.17990274775391865</v>
      </c>
      <c r="CI58" s="3">
        <f t="shared" si="97"/>
        <v>0.17990274775391865</v>
      </c>
      <c r="CJ58" s="3">
        <f t="shared" si="97"/>
        <v>0.17990274775391865</v>
      </c>
      <c r="CK58" s="3">
        <f t="shared" si="97"/>
        <v>0.17990274775391865</v>
      </c>
      <c r="CL58" s="3">
        <f t="shared" si="97"/>
        <v>0.17990274775391865</v>
      </c>
      <c r="CM58" s="3">
        <f t="shared" si="97"/>
        <v>0.17990274775391865</v>
      </c>
      <c r="CN58" s="3">
        <f t="shared" si="97"/>
        <v>0.17990274775391865</v>
      </c>
      <c r="CO58" s="3">
        <f t="shared" si="97"/>
        <v>0.17990274775391865</v>
      </c>
      <c r="CP58" s="3">
        <f t="shared" si="97"/>
        <v>0.17990274775391865</v>
      </c>
      <c r="CQ58" s="3">
        <f t="shared" si="97"/>
        <v>0.17990274775391865</v>
      </c>
      <c r="CR58" s="3">
        <f t="shared" si="97"/>
        <v>0.17990274775391865</v>
      </c>
      <c r="CS58" s="3">
        <f t="shared" si="97"/>
        <v>0.17990274775391865</v>
      </c>
      <c r="CT58" s="3">
        <f t="shared" si="97"/>
        <v>0.17990274775391865</v>
      </c>
      <c r="CU58" s="3">
        <f t="shared" si="97"/>
        <v>0.17990274775391865</v>
      </c>
      <c r="CV58" s="3">
        <f t="shared" si="97"/>
        <v>0.17990274775391865</v>
      </c>
      <c r="CW58" s="3">
        <f t="shared" si="97"/>
        <v>0.17990274775391865</v>
      </c>
      <c r="CX58" s="3">
        <v>0</v>
      </c>
      <c r="DE58" s="19"/>
      <c r="DF58" s="3">
        <f t="shared" si="59"/>
        <v>0</v>
      </c>
      <c r="DG58" s="3">
        <f t="shared" si="59"/>
        <v>3.4758743720151757</v>
      </c>
      <c r="DH58" s="3">
        <f t="shared" si="60"/>
        <v>6.8921583734210419</v>
      </c>
      <c r="DI58" s="3">
        <f t="shared" si="61"/>
        <v>10.145153615103544</v>
      </c>
      <c r="DJ58" s="3">
        <f t="shared" si="62"/>
        <v>13.165067805287133</v>
      </c>
      <c r="DK58" s="3">
        <f t="shared" si="63"/>
        <v>15.897352277578607</v>
      </c>
      <c r="DL58" s="3">
        <f t="shared" si="64"/>
        <v>18.302086726870762</v>
      </c>
      <c r="DM58" s="3">
        <f t="shared" si="65"/>
        <v>20.353221711735305</v>
      </c>
      <c r="DN58" s="3">
        <f t="shared" si="66"/>
        <v>22.03698595129007</v>
      </c>
      <c r="DO58" s="3">
        <f t="shared" si="67"/>
        <v>23.349817359933372</v>
      </c>
      <c r="DP58" s="3">
        <f t="shared" si="68"/>
        <v>24.296114230138897</v>
      </c>
      <c r="DQ58" s="3">
        <f t="shared" si="69"/>
        <v>24.886007660765646</v>
      </c>
      <c r="DR58" s="3">
        <f t="shared" si="70"/>
        <v>25.133288776986131</v>
      </c>
      <c r="DS58" s="3">
        <f t="shared" si="71"/>
        <v>25.05358290533318</v>
      </c>
      <c r="DT58" s="3">
        <f t="shared" si="72"/>
        <v>24.662839930382006</v>
      </c>
      <c r="DU58" s="3">
        <f t="shared" si="73"/>
        <v>23.976198093272103</v>
      </c>
      <c r="DV58" s="3">
        <f t="shared" si="74"/>
        <v>23.007271679331851</v>
      </c>
      <c r="DW58" s="3">
        <f t="shared" si="75"/>
        <v>21.767907002296035</v>
      </c>
      <c r="DX58" s="3">
        <f t="shared" si="76"/>
        <v>20.26844199464346</v>
      </c>
      <c r="DY58" s="3">
        <f t="shared" si="77"/>
        <v>18.518488205739501</v>
      </c>
      <c r="DZ58" s="3">
        <f t="shared" si="78"/>
        <v>16.528224289126094</v>
      </c>
      <c r="EA58" s="3">
        <f t="shared" si="79"/>
        <v>14.31013947181796</v>
      </c>
      <c r="EB58" s="3">
        <f t="shared" si="80"/>
        <v>11.881085377460334</v>
      </c>
      <c r="EC58" s="3">
        <f t="shared" si="81"/>
        <v>9.2643786690283143</v>
      </c>
      <c r="ED58" s="3">
        <f t="shared" si="82"/>
        <v>6.4915495587510739</v>
      </c>
      <c r="EE58" s="3">
        <f t="shared" si="83"/>
        <v>3.6031823635570683</v>
      </c>
      <c r="EF58" s="3">
        <v>0</v>
      </c>
    </row>
    <row r="59" spans="7:136" x14ac:dyDescent="0.3">
      <c r="G59" s="13"/>
      <c r="H59" s="3">
        <v>0</v>
      </c>
      <c r="I59" s="3">
        <f t="shared" si="5"/>
        <v>5.1020778604399304</v>
      </c>
      <c r="J59" s="3">
        <f t="shared" si="6"/>
        <v>9.1847903973374674</v>
      </c>
      <c r="K59" s="3">
        <f t="shared" si="7"/>
        <v>13.041050587833464</v>
      </c>
      <c r="L59" s="3">
        <f t="shared" si="8"/>
        <v>16.591701593207894</v>
      </c>
      <c r="M59" s="3">
        <f t="shared" si="9"/>
        <v>19.776714253306267</v>
      </c>
      <c r="N59" s="3">
        <f t="shared" si="10"/>
        <v>22.554719486508297</v>
      </c>
      <c r="O59" s="3">
        <f t="shared" si="11"/>
        <v>24.901038055439322</v>
      </c>
      <c r="P59" s="3">
        <f t="shared" si="12"/>
        <v>26.805001113200287</v>
      </c>
      <c r="Q59" s="3">
        <f t="shared" si="13"/>
        <v>28.267057879982474</v>
      </c>
      <c r="R59" s="3">
        <f t="shared" si="14"/>
        <v>29.295946039936467</v>
      </c>
      <c r="S59" s="3">
        <f t="shared" si="15"/>
        <v>29.90606763254657</v>
      </c>
      <c r="T59" s="3">
        <f t="shared" si="16"/>
        <v>30.11514656811601</v>
      </c>
      <c r="U59" s="3">
        <f t="shared" si="17"/>
        <v>29.942217609046633</v>
      </c>
      <c r="V59" s="3">
        <f t="shared" si="18"/>
        <v>29.405991079880359</v>
      </c>
      <c r="W59" s="3">
        <f t="shared" si="19"/>
        <v>28.523640564570396</v>
      </c>
      <c r="X59" s="3">
        <f t="shared" si="20"/>
        <v>27.310065990565192</v>
      </c>
      <c r="Y59" s="3">
        <f t="shared" si="21"/>
        <v>25.777688586615717</v>
      </c>
      <c r="Z59" s="3">
        <f t="shared" si="22"/>
        <v>23.936834883272397</v>
      </c>
      <c r="AA59" s="3">
        <f t="shared" si="23"/>
        <v>21.796760435769716</v>
      </c>
      <c r="AB59" s="3">
        <f t="shared" si="24"/>
        <v>19.367342790306918</v>
      </c>
      <c r="AC59" s="3">
        <f t="shared" si="25"/>
        <v>16.661423832654808</v>
      </c>
      <c r="AD59" s="3">
        <f t="shared" si="26"/>
        <v>13.697682986116629</v>
      </c>
      <c r="AE59" s="3">
        <f t="shared" si="27"/>
        <v>10.50374837500439</v>
      </c>
      <c r="AF59" s="3">
        <f t="shared" si="28"/>
        <v>7.1189834970167265</v>
      </c>
      <c r="AG59" s="3">
        <f t="shared" si="29"/>
        <v>3.5960428373258924</v>
      </c>
      <c r="AH59" s="3">
        <v>0</v>
      </c>
      <c r="AI59"/>
      <c r="AJ59"/>
      <c r="AK59"/>
      <c r="AL59"/>
      <c r="AO59" s="19"/>
      <c r="AP59" s="3">
        <f t="shared" si="30"/>
        <v>0</v>
      </c>
      <c r="AQ59" s="3">
        <f t="shared" si="31"/>
        <v>-18431275.951663338</v>
      </c>
      <c r="AR59" s="3">
        <f t="shared" si="32"/>
        <v>-33172366.28403271</v>
      </c>
      <c r="AS59" s="3">
        <f t="shared" si="33"/>
        <v>-47084598.867805123</v>
      </c>
      <c r="AT59" s="3">
        <f t="shared" si="34"/>
        <v>-59881947.846822031</v>
      </c>
      <c r="AU59" s="3">
        <f t="shared" si="35"/>
        <v>-71349477.375022411</v>
      </c>
      <c r="AV59" s="3">
        <f t="shared" si="36"/>
        <v>-81340646.125992104</v>
      </c>
      <c r="AW59" s="3">
        <f t="shared" si="37"/>
        <v>-89769476.61005652</v>
      </c>
      <c r="AX59" s="3">
        <f t="shared" si="38"/>
        <v>-96600464.920837834</v>
      </c>
      <c r="AY59" s="3">
        <f t="shared" si="39"/>
        <v>-101837938.58072065</v>
      </c>
      <c r="AZ59" s="3">
        <f t="shared" si="40"/>
        <v>-105515766.89678976</v>
      </c>
      <c r="BA59" s="3">
        <f t="shared" si="41"/>
        <v>-107687872.59345785</v>
      </c>
      <c r="BB59" s="3">
        <f t="shared" si="42"/>
        <v>-108419779.14231658</v>
      </c>
      <c r="BC59" s="3">
        <f t="shared" si="43"/>
        <v>-107781352.7454486</v>
      </c>
      <c r="BD59" s="3">
        <f t="shared" si="44"/>
        <v>-105840889.55859604</v>
      </c>
      <c r="BE59" s="3">
        <f t="shared" si="45"/>
        <v>-102660715.65830784</v>
      </c>
      <c r="BF59" s="3">
        <f t="shared" si="46"/>
        <v>-98294488.774146274</v>
      </c>
      <c r="BG59" s="3">
        <f t="shared" si="47"/>
        <v>-92786407.729207784</v>
      </c>
      <c r="BH59" s="3">
        <f t="shared" si="48"/>
        <v>-86172541.593909115</v>
      </c>
      <c r="BI59" s="3">
        <f t="shared" si="49"/>
        <v>-78484474.470818534</v>
      </c>
      <c r="BJ59" s="3">
        <f t="shared" si="50"/>
        <v>-69755398.919394031</v>
      </c>
      <c r="BK59" s="3">
        <f t="shared" si="51"/>
        <v>-60028634.06517043</v>
      </c>
      <c r="BL59" s="3">
        <f t="shared" si="52"/>
        <v>-49368215.730211005</v>
      </c>
      <c r="BM59" s="3">
        <f t="shared" si="53"/>
        <v>-37870599.107131742</v>
      </c>
      <c r="BN59" s="3">
        <f t="shared" si="54"/>
        <v>-25675527.4202541</v>
      </c>
      <c r="BO59" s="3">
        <f t="shared" si="55"/>
        <v>-12972761.740934553</v>
      </c>
      <c r="BP59" s="3">
        <f t="shared" si="56"/>
        <v>0</v>
      </c>
      <c r="BW59" s="19"/>
      <c r="BX59" s="3">
        <f t="shared" si="57"/>
        <v>0.17426273458445043</v>
      </c>
      <c r="BY59" s="3">
        <f t="shared" ref="BY59:CW59" si="98">$C$19/($C$20-$C$21*BX59)</f>
        <v>0.17972039376148968</v>
      </c>
      <c r="BZ59" s="3">
        <f t="shared" si="98"/>
        <v>0.17989684606081083</v>
      </c>
      <c r="CA59" s="3">
        <f t="shared" si="98"/>
        <v>0.179902556745832</v>
      </c>
      <c r="CB59" s="3">
        <f t="shared" si="98"/>
        <v>0.17990274157194241</v>
      </c>
      <c r="CC59" s="3">
        <f t="shared" si="98"/>
        <v>0.17990274755383903</v>
      </c>
      <c r="CD59" s="3">
        <f t="shared" si="98"/>
        <v>0.17990274774744311</v>
      </c>
      <c r="CE59" s="3">
        <f t="shared" si="98"/>
        <v>0.1799027477537091</v>
      </c>
      <c r="CF59" s="3">
        <f t="shared" si="98"/>
        <v>0.17990274775391188</v>
      </c>
      <c r="CG59" s="3">
        <f t="shared" si="98"/>
        <v>0.17990274775391843</v>
      </c>
      <c r="CH59" s="3">
        <f t="shared" si="98"/>
        <v>0.17990274775391865</v>
      </c>
      <c r="CI59" s="3">
        <f t="shared" si="98"/>
        <v>0.17990274775391865</v>
      </c>
      <c r="CJ59" s="3">
        <f t="shared" si="98"/>
        <v>0.17990274775391865</v>
      </c>
      <c r="CK59" s="3">
        <f t="shared" si="98"/>
        <v>0.17990274775391865</v>
      </c>
      <c r="CL59" s="3">
        <f t="shared" si="98"/>
        <v>0.17990274775391865</v>
      </c>
      <c r="CM59" s="3">
        <f t="shared" si="98"/>
        <v>0.17990274775391865</v>
      </c>
      <c r="CN59" s="3">
        <f t="shared" si="98"/>
        <v>0.17990274775391865</v>
      </c>
      <c r="CO59" s="3">
        <f t="shared" si="98"/>
        <v>0.17990274775391865</v>
      </c>
      <c r="CP59" s="3">
        <f t="shared" si="98"/>
        <v>0.17990274775391865</v>
      </c>
      <c r="CQ59" s="3">
        <f t="shared" si="98"/>
        <v>0.17990274775391865</v>
      </c>
      <c r="CR59" s="3">
        <f t="shared" si="98"/>
        <v>0.17990274775391865</v>
      </c>
      <c r="CS59" s="3">
        <f t="shared" si="98"/>
        <v>0.17990274775391865</v>
      </c>
      <c r="CT59" s="3">
        <f t="shared" si="98"/>
        <v>0.17990274775391865</v>
      </c>
      <c r="CU59" s="3">
        <f t="shared" si="98"/>
        <v>0.17990274775391865</v>
      </c>
      <c r="CV59" s="3">
        <f t="shared" si="98"/>
        <v>0.17990274775391865</v>
      </c>
      <c r="CW59" s="3">
        <f t="shared" si="98"/>
        <v>0.17990274775391865</v>
      </c>
      <c r="CX59" s="3">
        <v>0</v>
      </c>
      <c r="DE59" s="19"/>
      <c r="DF59" s="3">
        <f t="shared" si="59"/>
        <v>0</v>
      </c>
      <c r="DG59" s="3">
        <f t="shared" si="59"/>
        <v>3.4513837136136916</v>
      </c>
      <c r="DH59" s="3">
        <f t="shared" si="60"/>
        <v>6.8387465272667436</v>
      </c>
      <c r="DI59" s="3">
        <f t="shared" si="61"/>
        <v>10.05616105045147</v>
      </c>
      <c r="DJ59" s="3">
        <f t="shared" si="62"/>
        <v>13.033816479753188</v>
      </c>
      <c r="DK59" s="3">
        <f t="shared" si="63"/>
        <v>15.719058247377312</v>
      </c>
      <c r="DL59" s="3">
        <f t="shared" si="64"/>
        <v>18.074954318571116</v>
      </c>
      <c r="DM59" s="3">
        <f t="shared" si="65"/>
        <v>20.078744701633358</v>
      </c>
      <c r="DN59" s="3">
        <f t="shared" si="66"/>
        <v>21.719679729672574</v>
      </c>
      <c r="DO59" s="3">
        <f t="shared" si="67"/>
        <v>22.99663668934738</v>
      </c>
      <c r="DP59" s="3">
        <f t="shared" si="68"/>
        <v>23.915762298326811</v>
      </c>
      <c r="DQ59" s="3">
        <f t="shared" si="69"/>
        <v>24.488270015930507</v>
      </c>
      <c r="DR59" s="3">
        <f t="shared" si="70"/>
        <v>24.728459346402754</v>
      </c>
      <c r="DS59" s="3">
        <f t="shared" si="71"/>
        <v>24.651999013348934</v>
      </c>
      <c r="DT59" s="3">
        <f t="shared" si="72"/>
        <v>24.274509766369007</v>
      </c>
      <c r="DU59" s="3">
        <f t="shared" si="73"/>
        <v>23.610484651526875</v>
      </c>
      <c r="DV59" s="3">
        <f t="shared" si="74"/>
        <v>22.672588983088197</v>
      </c>
      <c r="DW59" s="3">
        <f t="shared" si="75"/>
        <v>21.471386218583163</v>
      </c>
      <c r="DX59" s="3">
        <f t="shared" si="76"/>
        <v>20.015537788743522</v>
      </c>
      <c r="DY59" s="3">
        <f t="shared" si="77"/>
        <v>18.312522251101456</v>
      </c>
      <c r="DZ59" s="3">
        <f t="shared" si="78"/>
        <v>16.369906861319691</v>
      </c>
      <c r="EA59" s="3">
        <f t="shared" si="79"/>
        <v>14.197173025590324</v>
      </c>
      <c r="EB59" s="3">
        <f t="shared" si="80"/>
        <v>11.808029791737582</v>
      </c>
      <c r="EC59" s="3">
        <f t="shared" si="81"/>
        <v>9.2230236826762795</v>
      </c>
      <c r="ED59" s="3">
        <f t="shared" si="82"/>
        <v>6.472045509541001</v>
      </c>
      <c r="EE59" s="3">
        <f t="shared" si="83"/>
        <v>3.5960428373258924</v>
      </c>
      <c r="EF59" s="3">
        <v>0</v>
      </c>
    </row>
    <row r="60" spans="7:136" x14ac:dyDescent="0.3">
      <c r="G60" s="13"/>
      <c r="H60" s="3">
        <v>0</v>
      </c>
      <c r="I60" s="3">
        <f t="shared" si="5"/>
        <v>5.1573253731819113</v>
      </c>
      <c r="J60" s="3">
        <f t="shared" si="6"/>
        <v>9.2714657091004824</v>
      </c>
      <c r="K60" s="3">
        <f t="shared" si="7"/>
        <v>13.138563513455086</v>
      </c>
      <c r="L60" s="3">
        <f t="shared" si="8"/>
        <v>16.678864061953615</v>
      </c>
      <c r="M60" s="3">
        <f t="shared" si="9"/>
        <v>19.836041183976075</v>
      </c>
      <c r="N60" s="3">
        <f t="shared" si="10"/>
        <v>22.574718931244384</v>
      </c>
      <c r="O60" s="3">
        <f t="shared" si="11"/>
        <v>24.876798145560677</v>
      </c>
      <c r="P60" s="3">
        <f t="shared" si="12"/>
        <v>26.737648853515431</v>
      </c>
      <c r="Q60" s="3">
        <f t="shared" si="13"/>
        <v>28.162630230603234</v>
      </c>
      <c r="R60" s="3">
        <f t="shared" si="14"/>
        <v>29.164066491637229</v>
      </c>
      <c r="S60" s="3">
        <f t="shared" si="15"/>
        <v>29.758664300037033</v>
      </c>
      <c r="T60" s="3">
        <f t="shared" si="16"/>
        <v>29.965321521004061</v>
      </c>
      <c r="U60" s="3">
        <f t="shared" si="17"/>
        <v>29.803289544960769</v>
      </c>
      <c r="V60" s="3">
        <f t="shared" si="18"/>
        <v>29.290679020516254</v>
      </c>
      <c r="W60" s="3">
        <f t="shared" si="19"/>
        <v>28.443326906732576</v>
      </c>
      <c r="X60" s="3">
        <f t="shared" si="20"/>
        <v>27.274067111263481</v>
      </c>
      <c r="Y60" s="3">
        <f t="shared" si="21"/>
        <v>25.792468531676121</v>
      </c>
      <c r="Z60" s="3">
        <f t="shared" si="22"/>
        <v>24.00512525163786</v>
      </c>
      <c r="AA60" s="3">
        <f t="shared" si="23"/>
        <v>21.916604215550286</v>
      </c>
      <c r="AB60" s="3">
        <f t="shared" si="24"/>
        <v>19.531170327341162</v>
      </c>
      <c r="AC60" s="3">
        <f t="shared" si="25"/>
        <v>16.855400432111566</v>
      </c>
      <c r="AD60" s="3">
        <f t="shared" si="26"/>
        <v>13.90172942953085</v>
      </c>
      <c r="AE60" s="3">
        <f t="shared" si="27"/>
        <v>10.692780257837368</v>
      </c>
      <c r="AF60" s="3">
        <f t="shared" si="28"/>
        <v>7.2659271416300966</v>
      </c>
      <c r="AG60" s="3">
        <f t="shared" si="29"/>
        <v>3.6768568210983257</v>
      </c>
      <c r="AH60" s="3">
        <v>0</v>
      </c>
      <c r="AI60"/>
      <c r="AJ60"/>
      <c r="AK60"/>
      <c r="AL60"/>
      <c r="AO60" s="19"/>
      <c r="AP60" s="3">
        <f t="shared" si="30"/>
        <v>0</v>
      </c>
      <c r="AQ60" s="3">
        <f t="shared" si="31"/>
        <v>-18643124.96898035</v>
      </c>
      <c r="AR60" s="3">
        <f t="shared" si="32"/>
        <v>-33503118.796398006</v>
      </c>
      <c r="AS60" s="3">
        <f t="shared" si="33"/>
        <v>-47454810.561218224</v>
      </c>
      <c r="AT60" s="3">
        <f t="shared" si="34"/>
        <v>-60211468.145329677</v>
      </c>
      <c r="AU60" s="3">
        <f t="shared" si="35"/>
        <v>-71573371.834691182</v>
      </c>
      <c r="AV60" s="3">
        <f t="shared" si="36"/>
        <v>-81417118.314831883</v>
      </c>
      <c r="AW60" s="3">
        <f t="shared" si="37"/>
        <v>-89681422.167068571</v>
      </c>
      <c r="AX60" s="3">
        <f t="shared" si="38"/>
        <v>-96353011.021988645</v>
      </c>
      <c r="AY60" s="3">
        <f t="shared" si="39"/>
        <v>-101454015.99977507</v>
      </c>
      <c r="AZ60" s="3">
        <f t="shared" si="40"/>
        <v>-105031135.03258426</v>
      </c>
      <c r="BA60" s="3">
        <f t="shared" si="41"/>
        <v>-107146414.684669</v>
      </c>
      <c r="BB60" s="3">
        <f t="shared" si="42"/>
        <v>-107869424.21212286</v>
      </c>
      <c r="BC60" s="3">
        <f t="shared" si="43"/>
        <v>-107270671.73117988</v>
      </c>
      <c r="BD60" s="3">
        <f t="shared" si="44"/>
        <v>-105416225.59913366</v>
      </c>
      <c r="BE60" s="3">
        <f t="shared" si="45"/>
        <v>-102363608.8323963</v>
      </c>
      <c r="BF60" s="3">
        <f t="shared" si="46"/>
        <v>-98159120.907279462</v>
      </c>
      <c r="BG60" s="3">
        <f t="shared" si="47"/>
        <v>-92836816.511568159</v>
      </c>
      <c r="BH60" s="3">
        <f t="shared" si="48"/>
        <v>-86419445.683805957</v>
      </c>
      <c r="BI60" s="3">
        <f t="shared" si="49"/>
        <v>-78921738.951615795</v>
      </c>
      <c r="BJ60" s="3">
        <f t="shared" si="50"/>
        <v>-70356490.013336778</v>
      </c>
      <c r="BK60" s="3">
        <f t="shared" si="51"/>
        <v>-60743893.195916019</v>
      </c>
      <c r="BL60" s="3">
        <f t="shared" si="52"/>
        <v>-50124409.203858249</v>
      </c>
      <c r="BM60" s="3">
        <f t="shared" si="53"/>
        <v>-38574829.548410632</v>
      </c>
      <c r="BN60" s="3">
        <f t="shared" si="54"/>
        <v>-26225835.046689603</v>
      </c>
      <c r="BO60" s="3">
        <f t="shared" si="55"/>
        <v>-13276815.638965536</v>
      </c>
      <c r="BP60" s="3">
        <f t="shared" si="56"/>
        <v>0</v>
      </c>
      <c r="BW60" s="19"/>
      <c r="BX60" s="3">
        <f t="shared" si="57"/>
        <v>0.17426273458445043</v>
      </c>
      <c r="BY60" s="3">
        <f t="shared" ref="BY60:CW60" si="99">$C$19/($C$20-$C$21*BX60)</f>
        <v>0.17972039376148968</v>
      </c>
      <c r="BZ60" s="3">
        <f t="shared" si="99"/>
        <v>0.17989684606081083</v>
      </c>
      <c r="CA60" s="3">
        <f t="shared" si="99"/>
        <v>0.179902556745832</v>
      </c>
      <c r="CB60" s="3">
        <f t="shared" si="99"/>
        <v>0.17990274157194241</v>
      </c>
      <c r="CC60" s="3">
        <f t="shared" si="99"/>
        <v>0.17990274755383903</v>
      </c>
      <c r="CD60" s="3">
        <f t="shared" si="99"/>
        <v>0.17990274774744311</v>
      </c>
      <c r="CE60" s="3">
        <f t="shared" si="99"/>
        <v>0.1799027477537091</v>
      </c>
      <c r="CF60" s="3">
        <f t="shared" si="99"/>
        <v>0.17990274775391188</v>
      </c>
      <c r="CG60" s="3">
        <f t="shared" si="99"/>
        <v>0.17990274775391843</v>
      </c>
      <c r="CH60" s="3">
        <f t="shared" si="99"/>
        <v>0.17990274775391865</v>
      </c>
      <c r="CI60" s="3">
        <f t="shared" si="99"/>
        <v>0.17990274775391865</v>
      </c>
      <c r="CJ60" s="3">
        <f t="shared" si="99"/>
        <v>0.17990274775391865</v>
      </c>
      <c r="CK60" s="3">
        <f t="shared" si="99"/>
        <v>0.17990274775391865</v>
      </c>
      <c r="CL60" s="3">
        <f t="shared" si="99"/>
        <v>0.17990274775391865</v>
      </c>
      <c r="CM60" s="3">
        <f t="shared" si="99"/>
        <v>0.17990274775391865</v>
      </c>
      <c r="CN60" s="3">
        <f t="shared" si="99"/>
        <v>0.17990274775391865</v>
      </c>
      <c r="CO60" s="3">
        <f t="shared" si="99"/>
        <v>0.17990274775391865</v>
      </c>
      <c r="CP60" s="3">
        <f t="shared" si="99"/>
        <v>0.17990274775391865</v>
      </c>
      <c r="CQ60" s="3">
        <f t="shared" si="99"/>
        <v>0.17990274775391865</v>
      </c>
      <c r="CR60" s="3">
        <f t="shared" si="99"/>
        <v>0.17990274775391865</v>
      </c>
      <c r="CS60" s="3">
        <f t="shared" si="99"/>
        <v>0.17990274775391865</v>
      </c>
      <c r="CT60" s="3">
        <f t="shared" si="99"/>
        <v>0.17990274775391865</v>
      </c>
      <c r="CU60" s="3">
        <f t="shared" si="99"/>
        <v>0.17990274775391865</v>
      </c>
      <c r="CV60" s="3">
        <f t="shared" si="99"/>
        <v>0.17990274775391865</v>
      </c>
      <c r="CW60" s="3">
        <f t="shared" si="99"/>
        <v>0.17990274775391865</v>
      </c>
      <c r="CX60" s="3">
        <v>0</v>
      </c>
      <c r="DE60" s="19"/>
      <c r="DF60" s="3">
        <f t="shared" si="59"/>
        <v>0</v>
      </c>
      <c r="DG60" s="3">
        <f t="shared" si="59"/>
        <v>3.4910539051962237</v>
      </c>
      <c r="DH60" s="3">
        <f t="shared" si="60"/>
        <v>6.9078795712602679</v>
      </c>
      <c r="DI60" s="3">
        <f t="shared" si="61"/>
        <v>10.137993225093458</v>
      </c>
      <c r="DJ60" s="3">
        <f t="shared" si="62"/>
        <v>13.110305871022359</v>
      </c>
      <c r="DK60" s="3">
        <f t="shared" si="63"/>
        <v>15.774787222989547</v>
      </c>
      <c r="DL60" s="3">
        <f t="shared" si="64"/>
        <v>18.099314589699521</v>
      </c>
      <c r="DM60" s="3">
        <f t="shared" si="65"/>
        <v>20.066621648339442</v>
      </c>
      <c r="DN60" s="3">
        <f t="shared" si="66"/>
        <v>21.671114291052525</v>
      </c>
      <c r="DO60" s="3">
        <f t="shared" si="67"/>
        <v>22.915934533079717</v>
      </c>
      <c r="DP60" s="3">
        <f t="shared" si="68"/>
        <v>23.810401014574122</v>
      </c>
      <c r="DQ60" s="3">
        <f t="shared" si="69"/>
        <v>24.367820621078771</v>
      </c>
      <c r="DR60" s="3">
        <f t="shared" si="70"/>
        <v>24.603627839759984</v>
      </c>
      <c r="DS60" s="3">
        <f t="shared" si="71"/>
        <v>24.533815905591837</v>
      </c>
      <c r="DT60" s="3">
        <f t="shared" si="72"/>
        <v>24.173646354732096</v>
      </c>
      <c r="DU60" s="3">
        <f t="shared" si="73"/>
        <v>23.536647290991493</v>
      </c>
      <c r="DV60" s="3">
        <f t="shared" si="74"/>
        <v>22.633931151058466</v>
      </c>
      <c r="DW60" s="3">
        <f t="shared" si="75"/>
        <v>21.473880538729492</v>
      </c>
      <c r="DX60" s="3">
        <f t="shared" si="76"/>
        <v>20.062267931825247</v>
      </c>
      <c r="DY60" s="3">
        <f t="shared" si="77"/>
        <v>18.402893006811809</v>
      </c>
      <c r="DZ60" s="3">
        <f t="shared" si="78"/>
        <v>16.498837475111703</v>
      </c>
      <c r="EA60" s="3">
        <f t="shared" si="79"/>
        <v>14.354441109207452</v>
      </c>
      <c r="EB60" s="3">
        <f t="shared" si="80"/>
        <v>11.978068880017052</v>
      </c>
      <c r="EC60" s="3">
        <f t="shared" si="81"/>
        <v>9.3856200000783385</v>
      </c>
      <c r="ED60" s="3">
        <f t="shared" si="82"/>
        <v>6.604450496416769</v>
      </c>
      <c r="EE60" s="3">
        <f t="shared" si="83"/>
        <v>3.6768568210983257</v>
      </c>
      <c r="EF60" s="3">
        <v>0</v>
      </c>
    </row>
    <row r="61" spans="7:136" x14ac:dyDescent="0.3">
      <c r="G61" s="13"/>
      <c r="H61" s="3">
        <v>0</v>
      </c>
      <c r="I61" s="3">
        <f t="shared" si="5"/>
        <v>5.3171798047383367</v>
      </c>
      <c r="J61" s="3">
        <f t="shared" si="6"/>
        <v>9.5360432406573228</v>
      </c>
      <c r="K61" s="3">
        <f t="shared" si="7"/>
        <v>13.469323625331999</v>
      </c>
      <c r="L61" s="3">
        <f t="shared" si="8"/>
        <v>17.036772663448133</v>
      </c>
      <c r="M61" s="3">
        <f t="shared" si="9"/>
        <v>20.188695214046056</v>
      </c>
      <c r="N61" s="3">
        <f t="shared" si="10"/>
        <v>22.89963142360104</v>
      </c>
      <c r="O61" s="3">
        <f t="shared" si="11"/>
        <v>25.161866375830076</v>
      </c>
      <c r="P61" s="3">
        <f t="shared" si="12"/>
        <v>26.979982196344658</v>
      </c>
      <c r="Q61" s="3">
        <f t="shared" si="13"/>
        <v>28.366652027661033</v>
      </c>
      <c r="R61" s="3">
        <f t="shared" si="14"/>
        <v>29.339468826726147</v>
      </c>
      <c r="S61" s="3">
        <f t="shared" si="15"/>
        <v>29.918519195270594</v>
      </c>
      <c r="T61" s="3">
        <f t="shared" si="16"/>
        <v>30.124463563432297</v>
      </c>
      <c r="U61" s="3">
        <f t="shared" si="17"/>
        <v>29.976969541616334</v>
      </c>
      <c r="V61" s="3">
        <f t="shared" si="18"/>
        <v>29.493423577017445</v>
      </c>
      <c r="W61" s="3">
        <f t="shared" si="19"/>
        <v>28.687906363681684</v>
      </c>
      <c r="X61" s="3">
        <f t="shared" si="20"/>
        <v>27.570463042885986</v>
      </c>
      <c r="Y61" s="3">
        <f t="shared" si="21"/>
        <v>26.146738881025474</v>
      </c>
      <c r="Z61" s="3">
        <f t="shared" si="22"/>
        <v>24.418094849939674</v>
      </c>
      <c r="AA61" s="3">
        <f t="shared" si="23"/>
        <v>22.382373613272392</v>
      </c>
      <c r="AB61" s="3">
        <f t="shared" si="24"/>
        <v>20.035556730582474</v>
      </c>
      <c r="AC61" s="3">
        <f t="shared" si="25"/>
        <v>17.37462451751605</v>
      </c>
      <c r="AD61" s="3">
        <f t="shared" si="26"/>
        <v>14.401953121273365</v>
      </c>
      <c r="AE61" s="3">
        <f t="shared" si="27"/>
        <v>11.131447986607085</v>
      </c>
      <c r="AF61" s="3">
        <f t="shared" si="28"/>
        <v>7.5961113004477738</v>
      </c>
      <c r="AG61" s="3">
        <f t="shared" si="29"/>
        <v>3.8555695116328703</v>
      </c>
      <c r="AH61" s="3">
        <v>0</v>
      </c>
      <c r="AI61"/>
      <c r="AJ61"/>
      <c r="AK61"/>
      <c r="AL61"/>
      <c r="AO61" s="19"/>
      <c r="AP61" s="3">
        <f t="shared" si="30"/>
        <v>0</v>
      </c>
      <c r="AQ61" s="3">
        <f t="shared" si="31"/>
        <v>-19242859.609651007</v>
      </c>
      <c r="AR61" s="3">
        <f t="shared" si="32"/>
        <v>-34489412.362339377</v>
      </c>
      <c r="AS61" s="3">
        <f t="shared" si="33"/>
        <v>-48679040.93165987</v>
      </c>
      <c r="AT61" s="3">
        <f t="shared" si="34"/>
        <v>-61526743.145336673</v>
      </c>
      <c r="AU61" s="3">
        <f t="shared" si="35"/>
        <v>-72860276.429882154</v>
      </c>
      <c r="AV61" s="3">
        <f t="shared" si="36"/>
        <v>-82594519.964479536</v>
      </c>
      <c r="AW61" s="3">
        <f t="shared" si="37"/>
        <v>-90707021.263879329</v>
      </c>
      <c r="AX61" s="3">
        <f t="shared" si="38"/>
        <v>-97218257.740241051</v>
      </c>
      <c r="AY61" s="3">
        <f t="shared" si="39"/>
        <v>-102176744.20027511</v>
      </c>
      <c r="AZ61" s="3">
        <f t="shared" si="40"/>
        <v>-105647932.69731411</v>
      </c>
      <c r="BA61" s="3">
        <f t="shared" si="41"/>
        <v>-107705736.50805998</v>
      </c>
      <c r="BB61" s="3">
        <f t="shared" si="42"/>
        <v>-108425788.85123539</v>
      </c>
      <c r="BC61" s="3">
        <f t="shared" si="43"/>
        <v>-107879893.60460269</v>
      </c>
      <c r="BD61" s="3">
        <f t="shared" si="44"/>
        <v>-106131416.69405222</v>
      </c>
      <c r="BE61" s="3">
        <f t="shared" si="45"/>
        <v>-103231580.07725947</v>
      </c>
      <c r="BF61" s="3">
        <f t="shared" si="46"/>
        <v>-99216775.38039811</v>
      </c>
      <c r="BG61" s="3">
        <f t="shared" si="47"/>
        <v>-94107146.890719086</v>
      </c>
      <c r="BH61" s="3">
        <f t="shared" si="48"/>
        <v>-87906842.617409527</v>
      </c>
      <c r="BI61" s="3">
        <f t="shared" si="49"/>
        <v>-80606531.53086333</v>
      </c>
      <c r="BJ61" s="3">
        <f t="shared" si="50"/>
        <v>-72189050.707150534</v>
      </c>
      <c r="BK61" s="3">
        <f t="shared" si="51"/>
        <v>-62639345.412058994</v>
      </c>
      <c r="BL61" s="3">
        <f t="shared" si="52"/>
        <v>-51960054.648820817</v>
      </c>
      <c r="BM61" s="3">
        <f t="shared" si="53"/>
        <v>-40193808.274872988</v>
      </c>
      <c r="BN61" s="3">
        <f t="shared" si="54"/>
        <v>-27451793.576629404</v>
      </c>
      <c r="BO61" s="3">
        <f t="shared" si="55"/>
        <v>-13944181.619737118</v>
      </c>
      <c r="BP61" s="3">
        <f t="shared" si="56"/>
        <v>0</v>
      </c>
      <c r="BW61" s="19"/>
      <c r="BX61" s="3">
        <f t="shared" si="57"/>
        <v>0.17426273458445043</v>
      </c>
      <c r="BY61" s="3">
        <f t="shared" ref="BY61:CW61" si="100">$C$19/($C$20-$C$21*BX61)</f>
        <v>0.17972039376148968</v>
      </c>
      <c r="BZ61" s="3">
        <f t="shared" si="100"/>
        <v>0.17989684606081083</v>
      </c>
      <c r="CA61" s="3">
        <f t="shared" si="100"/>
        <v>0.179902556745832</v>
      </c>
      <c r="CB61" s="3">
        <f t="shared" si="100"/>
        <v>0.17990274157194241</v>
      </c>
      <c r="CC61" s="3">
        <f t="shared" si="100"/>
        <v>0.17990274755383903</v>
      </c>
      <c r="CD61" s="3">
        <f t="shared" si="100"/>
        <v>0.17990274774744311</v>
      </c>
      <c r="CE61" s="3">
        <f t="shared" si="100"/>
        <v>0.1799027477537091</v>
      </c>
      <c r="CF61" s="3">
        <f t="shared" si="100"/>
        <v>0.17990274775391188</v>
      </c>
      <c r="CG61" s="3">
        <f t="shared" si="100"/>
        <v>0.17990274775391843</v>
      </c>
      <c r="CH61" s="3">
        <f t="shared" si="100"/>
        <v>0.17990274775391865</v>
      </c>
      <c r="CI61" s="3">
        <f t="shared" si="100"/>
        <v>0.17990274775391865</v>
      </c>
      <c r="CJ61" s="3">
        <f t="shared" si="100"/>
        <v>0.17990274775391865</v>
      </c>
      <c r="CK61" s="3">
        <f t="shared" si="100"/>
        <v>0.17990274775391865</v>
      </c>
      <c r="CL61" s="3">
        <f t="shared" si="100"/>
        <v>0.17990274775391865</v>
      </c>
      <c r="CM61" s="3">
        <f t="shared" si="100"/>
        <v>0.17990274775391865</v>
      </c>
      <c r="CN61" s="3">
        <f t="shared" si="100"/>
        <v>0.17990274775391865</v>
      </c>
      <c r="CO61" s="3">
        <f t="shared" si="100"/>
        <v>0.17990274775391865</v>
      </c>
      <c r="CP61" s="3">
        <f t="shared" si="100"/>
        <v>0.17990274775391865</v>
      </c>
      <c r="CQ61" s="3">
        <f t="shared" si="100"/>
        <v>0.17990274775391865</v>
      </c>
      <c r="CR61" s="3">
        <f t="shared" si="100"/>
        <v>0.17990274775391865</v>
      </c>
      <c r="CS61" s="3">
        <f t="shared" si="100"/>
        <v>0.17990274775391865</v>
      </c>
      <c r="CT61" s="3">
        <f t="shared" si="100"/>
        <v>0.17990274775391865</v>
      </c>
      <c r="CU61" s="3">
        <f t="shared" si="100"/>
        <v>0.17990274775391865</v>
      </c>
      <c r="CV61" s="3">
        <f t="shared" si="100"/>
        <v>0.17990274775391865</v>
      </c>
      <c r="CW61" s="3">
        <f t="shared" si="100"/>
        <v>0.17990274775391865</v>
      </c>
      <c r="CX61" s="3">
        <v>0</v>
      </c>
      <c r="DE61" s="19"/>
      <c r="DF61" s="3">
        <f t="shared" si="59"/>
        <v>0</v>
      </c>
      <c r="DG61" s="3">
        <f t="shared" si="59"/>
        <v>3.6033583586008109</v>
      </c>
      <c r="DH61" s="3">
        <f t="shared" si="60"/>
        <v>7.1129544018877304</v>
      </c>
      <c r="DI61" s="3">
        <f t="shared" si="61"/>
        <v>10.404364664480182</v>
      </c>
      <c r="DJ61" s="3">
        <f t="shared" si="62"/>
        <v>13.404771045680896</v>
      </c>
      <c r="DK61" s="3">
        <f t="shared" si="63"/>
        <v>16.068988602969998</v>
      </c>
      <c r="DL61" s="3">
        <f t="shared" si="64"/>
        <v>18.372942524135212</v>
      </c>
      <c r="DM61" s="3">
        <f t="shared" si="65"/>
        <v>20.308093444361521</v>
      </c>
      <c r="DN61" s="3">
        <f t="shared" si="66"/>
        <v>21.876743551989364</v>
      </c>
      <c r="DO61" s="3">
        <f t="shared" si="67"/>
        <v>23.088400968092564</v>
      </c>
      <c r="DP61" s="3">
        <f t="shared" si="68"/>
        <v>23.957045014768607</v>
      </c>
      <c r="DQ61" s="3">
        <f t="shared" si="69"/>
        <v>24.499045425596321</v>
      </c>
      <c r="DR61" s="3">
        <f t="shared" si="70"/>
        <v>24.731524373559992</v>
      </c>
      <c r="DS61" s="3">
        <f t="shared" si="71"/>
        <v>24.671021599440689</v>
      </c>
      <c r="DT61" s="3">
        <f t="shared" si="72"/>
        <v>24.33239039488398</v>
      </c>
      <c r="DU61" s="3">
        <f t="shared" si="73"/>
        <v>23.72790430541863</v>
      </c>
      <c r="DV61" s="3">
        <f t="shared" si="74"/>
        <v>22.866592873385283</v>
      </c>
      <c r="DW61" s="3">
        <f t="shared" si="75"/>
        <v>21.753856522605517</v>
      </c>
      <c r="DX61" s="3">
        <f t="shared" si="76"/>
        <v>20.391444335657166</v>
      </c>
      <c r="DY61" s="3">
        <f t="shared" si="77"/>
        <v>18.777921904661085</v>
      </c>
      <c r="DZ61" s="3">
        <f t="shared" si="78"/>
        <v>16.909814038688733</v>
      </c>
      <c r="EA61" s="3">
        <f t="shared" si="79"/>
        <v>14.783673577975847</v>
      </c>
      <c r="EB61" s="3">
        <f t="shared" si="80"/>
        <v>12.399375042002925</v>
      </c>
      <c r="EC61" s="3">
        <f t="shared" si="81"/>
        <v>9.7648866914119381</v>
      </c>
      <c r="ED61" s="3">
        <f t="shared" si="82"/>
        <v>6.902483751148786</v>
      </c>
      <c r="EE61" s="3">
        <f t="shared" si="83"/>
        <v>3.8555695116328703</v>
      </c>
      <c r="EF61" s="3">
        <v>0</v>
      </c>
    </row>
    <row r="62" spans="7:136" x14ac:dyDescent="0.3">
      <c r="G62" s="13"/>
      <c r="H62" s="3">
        <v>0</v>
      </c>
      <c r="I62" s="3">
        <f t="shared" si="5"/>
        <v>5.6060220190006422</v>
      </c>
      <c r="J62" s="3">
        <f t="shared" si="6"/>
        <v>10.01361329868589</v>
      </c>
      <c r="K62" s="3">
        <f t="shared" si="7"/>
        <v>14.069119049214027</v>
      </c>
      <c r="L62" s="3">
        <f t="shared" si="8"/>
        <v>17.694743298701162</v>
      </c>
      <c r="M62" s="3">
        <f t="shared" si="9"/>
        <v>20.853800995804207</v>
      </c>
      <c r="N62" s="3">
        <f t="shared" si="10"/>
        <v>23.537398311557734</v>
      </c>
      <c r="O62" s="3">
        <f t="shared" si="11"/>
        <v>25.753709022020228</v>
      </c>
      <c r="P62" s="3">
        <f t="shared" si="12"/>
        <v>27.520542554383237</v>
      </c>
      <c r="Q62" s="3">
        <f t="shared" si="13"/>
        <v>28.860565041321252</v>
      </c>
      <c r="R62" s="3">
        <f t="shared" si="14"/>
        <v>29.798288079998699</v>
      </c>
      <c r="S62" s="3">
        <f t="shared" si="15"/>
        <v>30.358098543257192</v>
      </c>
      <c r="T62" s="3">
        <f t="shared" si="16"/>
        <v>30.562845101276622</v>
      </c>
      <c r="U62" s="3">
        <f t="shared" si="17"/>
        <v>30.432703890918724</v>
      </c>
      <c r="V62" s="3">
        <f t="shared" si="18"/>
        <v>29.984190998301624</v>
      </c>
      <c r="W62" s="3">
        <f t="shared" si="19"/>
        <v>29.229282651414238</v>
      </c>
      <c r="X62" s="3">
        <f t="shared" si="20"/>
        <v>28.174665147221273</v>
      </c>
      <c r="Y62" s="3">
        <f t="shared" si="21"/>
        <v>26.821187054381635</v>
      </c>
      <c r="Z62" s="3">
        <f t="shared" si="22"/>
        <v>25.163647575759832</v>
      </c>
      <c r="AA62" s="3">
        <f t="shared" si="23"/>
        <v>23.191148661636372</v>
      </c>
      <c r="AB62" s="3">
        <f t="shared" si="24"/>
        <v>20.888384058743551</v>
      </c>
      <c r="AC62" s="3">
        <f t="shared" si="25"/>
        <v>18.238443353267602</v>
      </c>
      <c r="AD62" s="3">
        <f t="shared" si="26"/>
        <v>15.227939948537363</v>
      </c>
      <c r="AE62" s="3">
        <f t="shared" si="27"/>
        <v>11.85539061633348</v>
      </c>
      <c r="AF62" s="3">
        <f t="shared" si="28"/>
        <v>8.1434175674499283</v>
      </c>
      <c r="AG62" s="3">
        <f t="shared" si="29"/>
        <v>4.1537551385548479</v>
      </c>
      <c r="AH62" s="3">
        <v>0</v>
      </c>
      <c r="AI62"/>
      <c r="AJ62"/>
      <c r="AK62"/>
      <c r="AL62"/>
      <c r="AO62" s="19"/>
      <c r="AP62" s="3">
        <f t="shared" si="30"/>
        <v>0</v>
      </c>
      <c r="AQ62" s="3">
        <f t="shared" si="31"/>
        <v>-20327001.922002096</v>
      </c>
      <c r="AR62" s="3">
        <f t="shared" si="32"/>
        <v>-36266759.688977249</v>
      </c>
      <c r="AS62" s="3">
        <f t="shared" si="33"/>
        <v>-50892579.245998792</v>
      </c>
      <c r="AT62" s="3">
        <f t="shared" si="34"/>
        <v>-63936527.644410625</v>
      </c>
      <c r="AU62" s="3">
        <f t="shared" si="35"/>
        <v>-75279762.541416004</v>
      </c>
      <c r="AV62" s="3">
        <f t="shared" si="36"/>
        <v>-84900664.903539807</v>
      </c>
      <c r="AW62" s="3">
        <f t="shared" si="37"/>
        <v>-92835695.079964802</v>
      </c>
      <c r="AX62" s="3">
        <f t="shared" si="38"/>
        <v>-99153339.903291747</v>
      </c>
      <c r="AY62" s="3">
        <f t="shared" si="39"/>
        <v>-103937815.5053937</v>
      </c>
      <c r="AZ62" s="3">
        <f t="shared" si="40"/>
        <v>-107278960.39169051</v>
      </c>
      <c r="BA62" s="3">
        <f t="shared" si="41"/>
        <v>-109265631.25213626</v>
      </c>
      <c r="BB62" s="3">
        <f t="shared" si="42"/>
        <v>-109980897.7926849</v>
      </c>
      <c r="BC62" s="3">
        <f t="shared" si="43"/>
        <v>-109498099.7652933</v>
      </c>
      <c r="BD62" s="3">
        <f t="shared" si="44"/>
        <v>-107877341.28480713</v>
      </c>
      <c r="BE62" s="3">
        <f t="shared" si="45"/>
        <v>-105162312.94202659</v>
      </c>
      <c r="BF62" s="3">
        <f t="shared" si="46"/>
        <v>-101377530.9205928</v>
      </c>
      <c r="BG62" s="3">
        <f t="shared" si="47"/>
        <v>-96526243.004586816</v>
      </c>
      <c r="BH62" s="3">
        <f t="shared" si="48"/>
        <v>-90589450.792146042</v>
      </c>
      <c r="BI62" s="3">
        <f t="shared" si="49"/>
        <v>-83526814.912086248</v>
      </c>
      <c r="BJ62" s="3">
        <f t="shared" si="50"/>
        <v>-75280725.338757187</v>
      </c>
      <c r="BK62" s="3">
        <f t="shared" si="51"/>
        <v>-65785585.914981313</v>
      </c>
      <c r="BL62" s="3">
        <f t="shared" si="52"/>
        <v>-54985323.231670588</v>
      </c>
      <c r="BM62" s="3">
        <f t="shared" si="53"/>
        <v>-42862904.491091907</v>
      </c>
      <c r="BN62" s="3">
        <f t="shared" si="54"/>
        <v>-29485095.471542396</v>
      </c>
      <c r="BO62" s="3">
        <f t="shared" si="55"/>
        <v>-15061161.921689739</v>
      </c>
      <c r="BP62" s="3">
        <f t="shared" si="56"/>
        <v>0</v>
      </c>
      <c r="BW62" s="19"/>
      <c r="BX62" s="3">
        <f t="shared" si="57"/>
        <v>0.17426273458445043</v>
      </c>
      <c r="BY62" s="3">
        <f t="shared" ref="BY62:CW62" si="101">$C$19/($C$20-$C$21*BX62)</f>
        <v>0.17972039376148968</v>
      </c>
      <c r="BZ62" s="3">
        <f t="shared" si="101"/>
        <v>0.17989684606081083</v>
      </c>
      <c r="CA62" s="3">
        <f t="shared" si="101"/>
        <v>0.179902556745832</v>
      </c>
      <c r="CB62" s="3">
        <f t="shared" si="101"/>
        <v>0.17990274157194241</v>
      </c>
      <c r="CC62" s="3">
        <f t="shared" si="101"/>
        <v>0.17990274755383903</v>
      </c>
      <c r="CD62" s="3">
        <f t="shared" si="101"/>
        <v>0.17990274774744311</v>
      </c>
      <c r="CE62" s="3">
        <f t="shared" si="101"/>
        <v>0.1799027477537091</v>
      </c>
      <c r="CF62" s="3">
        <f t="shared" si="101"/>
        <v>0.17990274775391188</v>
      </c>
      <c r="CG62" s="3">
        <f t="shared" si="101"/>
        <v>0.17990274775391843</v>
      </c>
      <c r="CH62" s="3">
        <f t="shared" si="101"/>
        <v>0.17990274775391865</v>
      </c>
      <c r="CI62" s="3">
        <f t="shared" si="101"/>
        <v>0.17990274775391865</v>
      </c>
      <c r="CJ62" s="3">
        <f t="shared" si="101"/>
        <v>0.17990274775391865</v>
      </c>
      <c r="CK62" s="3">
        <f t="shared" si="101"/>
        <v>0.17990274775391865</v>
      </c>
      <c r="CL62" s="3">
        <f t="shared" si="101"/>
        <v>0.17990274775391865</v>
      </c>
      <c r="CM62" s="3">
        <f t="shared" si="101"/>
        <v>0.17990274775391865</v>
      </c>
      <c r="CN62" s="3">
        <f t="shared" si="101"/>
        <v>0.17990274775391865</v>
      </c>
      <c r="CO62" s="3">
        <f t="shared" si="101"/>
        <v>0.17990274775391865</v>
      </c>
      <c r="CP62" s="3">
        <f t="shared" si="101"/>
        <v>0.17990274775391865</v>
      </c>
      <c r="CQ62" s="3">
        <f t="shared" si="101"/>
        <v>0.17990274775391865</v>
      </c>
      <c r="CR62" s="3">
        <f t="shared" si="101"/>
        <v>0.17990274775391865</v>
      </c>
      <c r="CS62" s="3">
        <f t="shared" si="101"/>
        <v>0.17990274775391865</v>
      </c>
      <c r="CT62" s="3">
        <f t="shared" si="101"/>
        <v>0.17990274775391865</v>
      </c>
      <c r="CU62" s="3">
        <f t="shared" si="101"/>
        <v>0.17990274775391865</v>
      </c>
      <c r="CV62" s="3">
        <f t="shared" si="101"/>
        <v>0.17990274775391865</v>
      </c>
      <c r="CW62" s="3">
        <f t="shared" si="101"/>
        <v>0.17990274775391865</v>
      </c>
      <c r="CX62" s="3">
        <v>0</v>
      </c>
      <c r="DE62" s="19"/>
      <c r="DF62" s="3">
        <f t="shared" si="59"/>
        <v>0</v>
      </c>
      <c r="DG62" s="3">
        <f t="shared" si="59"/>
        <v>3.806371493985524</v>
      </c>
      <c r="DH62" s="3">
        <f t="shared" si="60"/>
        <v>7.4826231548782136</v>
      </c>
      <c r="DI62" s="3">
        <f t="shared" si="61"/>
        <v>10.885789488816512</v>
      </c>
      <c r="DJ62" s="3">
        <f t="shared" si="62"/>
        <v>13.943087327360281</v>
      </c>
      <c r="DK62" s="3">
        <f t="shared" si="63"/>
        <v>16.61935836928588</v>
      </c>
      <c r="DL62" s="3">
        <f t="shared" si="64"/>
        <v>18.904235293808178</v>
      </c>
      <c r="DM62" s="3">
        <f t="shared" si="65"/>
        <v>20.802687796813803</v>
      </c>
      <c r="DN62" s="3">
        <f t="shared" si="66"/>
        <v>22.328447601719052</v>
      </c>
      <c r="DO62" s="3">
        <f t="shared" si="67"/>
        <v>23.49977113736665</v>
      </c>
      <c r="DP62" s="3">
        <f t="shared" si="68"/>
        <v>24.336782735482494</v>
      </c>
      <c r="DQ62" s="3">
        <f t="shared" si="69"/>
        <v>24.859758730360134</v>
      </c>
      <c r="DR62" s="3">
        <f t="shared" si="70"/>
        <v>25.087918049718972</v>
      </c>
      <c r="DS62" s="3">
        <f t="shared" si="71"/>
        <v>25.03846554114595</v>
      </c>
      <c r="DT62" s="3">
        <f t="shared" si="72"/>
        <v>24.725762734436259</v>
      </c>
      <c r="DU62" s="3">
        <f t="shared" si="73"/>
        <v>24.160582974382567</v>
      </c>
      <c r="DV62" s="3">
        <f t="shared" si="74"/>
        <v>23.349459898116184</v>
      </c>
      <c r="DW62" s="3">
        <f t="shared" si="75"/>
        <v>22.294177711991207</v>
      </c>
      <c r="DX62" s="3">
        <f t="shared" si="76"/>
        <v>20.991496207961838</v>
      </c>
      <c r="DY62" s="3">
        <f t="shared" si="77"/>
        <v>19.433270973329257</v>
      </c>
      <c r="DZ62" s="3">
        <f t="shared" si="78"/>
        <v>17.607237984736514</v>
      </c>
      <c r="EA62" s="3">
        <f t="shared" si="79"/>
        <v>15.498895113894065</v>
      </c>
      <c r="EB62" s="3">
        <f t="shared" si="80"/>
        <v>13.095122600962947</v>
      </c>
      <c r="EC62" s="3">
        <f t="shared" si="81"/>
        <v>10.390367419841706</v>
      </c>
      <c r="ED62" s="3">
        <f t="shared" si="82"/>
        <v>7.3961456045269518</v>
      </c>
      <c r="EE62" s="3">
        <f t="shared" si="83"/>
        <v>4.1537551385548479</v>
      </c>
      <c r="EF62" s="3">
        <v>0</v>
      </c>
    </row>
    <row r="63" spans="7:136" x14ac:dyDescent="0.3">
      <c r="G63" s="13"/>
      <c r="H63" s="3">
        <v>0</v>
      </c>
      <c r="I63" s="3">
        <f t="shared" si="5"/>
        <v>6.0692403931758694</v>
      </c>
      <c r="J63" s="3">
        <f t="shared" si="6"/>
        <v>10.767340819352174</v>
      </c>
      <c r="K63" s="3">
        <f t="shared" si="7"/>
        <v>15.000902284907065</v>
      </c>
      <c r="L63" s="3">
        <f t="shared" si="8"/>
        <v>18.704519164732819</v>
      </c>
      <c r="M63" s="3">
        <f t="shared" si="9"/>
        <v>21.867382029825336</v>
      </c>
      <c r="N63" s="3">
        <f t="shared" si="10"/>
        <v>24.508064448531314</v>
      </c>
      <c r="O63" s="3">
        <f t="shared" si="11"/>
        <v>26.658306819460993</v>
      </c>
      <c r="P63" s="3">
        <f t="shared" si="12"/>
        <v>28.353939955977495</v>
      </c>
      <c r="Q63" s="3">
        <f t="shared" si="13"/>
        <v>29.630321178403278</v>
      </c>
      <c r="R63" s="3">
        <f t="shared" si="14"/>
        <v>30.520226439548992</v>
      </c>
      <c r="S63" s="3">
        <f t="shared" si="15"/>
        <v>31.052890504935018</v>
      </c>
      <c r="T63" s="3">
        <f t="shared" si="16"/>
        <v>31.253466003886491</v>
      </c>
      <c r="U63" s="3">
        <f t="shared" si="17"/>
        <v>31.142542430946584</v>
      </c>
      <c r="V63" s="3">
        <f t="shared" si="18"/>
        <v>30.735577308802952</v>
      </c>
      <c r="W63" s="3">
        <f t="shared" si="19"/>
        <v>30.042202333160162</v>
      </c>
      <c r="X63" s="3">
        <f t="shared" si="20"/>
        <v>29.06542496462199</v>
      </c>
      <c r="Y63" s="3">
        <f t="shared" si="21"/>
        <v>27.800787820161865</v>
      </c>
      <c r="Z63" s="3">
        <f t="shared" si="22"/>
        <v>26.235608127899688</v>
      </c>
      <c r="AA63" s="3">
        <f t="shared" si="23"/>
        <v>24.348535944193948</v>
      </c>
      <c r="AB63" s="3">
        <f t="shared" si="24"/>
        <v>22.109892779177372</v>
      </c>
      <c r="AC63" s="3">
        <f t="shared" si="25"/>
        <v>19.483642823981647</v>
      </c>
      <c r="AD63" s="3">
        <f t="shared" si="26"/>
        <v>16.432454861610449</v>
      </c>
      <c r="AE63" s="3">
        <f t="shared" si="27"/>
        <v>12.928077333911773</v>
      </c>
      <c r="AF63" s="3">
        <f t="shared" si="28"/>
        <v>8.969760414595827</v>
      </c>
      <c r="AG63" s="3">
        <f t="shared" si="29"/>
        <v>4.612383637436765</v>
      </c>
      <c r="AH63" s="3">
        <v>0</v>
      </c>
      <c r="AI63"/>
      <c r="AJ63"/>
      <c r="AK63"/>
      <c r="AL63"/>
      <c r="AO63" s="19"/>
      <c r="AP63" s="3">
        <f t="shared" si="30"/>
        <v>0</v>
      </c>
      <c r="AQ63" s="3">
        <f t="shared" si="31"/>
        <v>-22077314.761580165</v>
      </c>
      <c r="AR63" s="3">
        <f t="shared" si="32"/>
        <v>-39079061.561054237</v>
      </c>
      <c r="AS63" s="3">
        <f t="shared" si="33"/>
        <v>-54331853.350031532</v>
      </c>
      <c r="AT63" s="3">
        <f t="shared" si="34"/>
        <v>-67630805.097695455</v>
      </c>
      <c r="AU63" s="3">
        <f t="shared" si="35"/>
        <v>-78961331.018100843</v>
      </c>
      <c r="AV63" s="3">
        <f t="shared" si="36"/>
        <v>-88405636.590887502</v>
      </c>
      <c r="AW63" s="3">
        <f t="shared" si="37"/>
        <v>-96086317.484069005</v>
      </c>
      <c r="AX63" s="3">
        <f t="shared" si="38"/>
        <v>-102136314.88058321</v>
      </c>
      <c r="AY63" s="3">
        <f t="shared" si="39"/>
        <v>-106684513.88477655</v>
      </c>
      <c r="AZ63" s="3">
        <f t="shared" si="40"/>
        <v>-109849435.80532844</v>
      </c>
      <c r="BA63" s="3">
        <f t="shared" si="41"/>
        <v>-111736494.15830714</v>
      </c>
      <c r="BB63" s="3">
        <f t="shared" si="42"/>
        <v>-112436398.21760939</v>
      </c>
      <c r="BC63" s="3">
        <f t="shared" si="43"/>
        <v>-112023569.03279312</v>
      </c>
      <c r="BD63" s="3">
        <f t="shared" si="44"/>
        <v>-110554134.12486185</v>
      </c>
      <c r="BE63" s="3">
        <f t="shared" si="45"/>
        <v>-108063418.29265875</v>
      </c>
      <c r="BF63" s="3">
        <f t="shared" si="46"/>
        <v>-104563019.08146088</v>
      </c>
      <c r="BG63" s="3">
        <f t="shared" si="47"/>
        <v>-100037673.33659427</v>
      </c>
      <c r="BH63" s="3">
        <f t="shared" si="48"/>
        <v>-94442299.275062397</v>
      </c>
      <c r="BI63" s="3">
        <f t="shared" si="49"/>
        <v>-87699968.302176595</v>
      </c>
      <c r="BJ63" s="3">
        <f t="shared" si="50"/>
        <v>-79702302.104880095</v>
      </c>
      <c r="BK63" s="3">
        <f t="shared" si="51"/>
        <v>-70315146.016369879</v>
      </c>
      <c r="BL63" s="3">
        <f t="shared" si="52"/>
        <v>-59394598.127514571</v>
      </c>
      <c r="BM63" s="3">
        <f t="shared" si="53"/>
        <v>-46821611.206227623</v>
      </c>
      <c r="BN63" s="3">
        <f t="shared" si="54"/>
        <v>-32566499.297800984</v>
      </c>
      <c r="BO63" s="3">
        <f t="shared" si="55"/>
        <v>-16793976.112332854</v>
      </c>
      <c r="BP63" s="3">
        <f t="shared" si="56"/>
        <v>0</v>
      </c>
      <c r="BW63" s="19"/>
      <c r="BX63" s="3">
        <f t="shared" si="57"/>
        <v>0.17426273458445043</v>
      </c>
      <c r="BY63" s="3">
        <f t="shared" ref="BY63:CW63" si="102">$C$19/($C$20-$C$21*BX63)</f>
        <v>0.17972039376148968</v>
      </c>
      <c r="BZ63" s="3">
        <f t="shared" si="102"/>
        <v>0.17989684606081083</v>
      </c>
      <c r="CA63" s="3">
        <f t="shared" si="102"/>
        <v>0.179902556745832</v>
      </c>
      <c r="CB63" s="3">
        <f t="shared" si="102"/>
        <v>0.17990274157194241</v>
      </c>
      <c r="CC63" s="3">
        <f t="shared" si="102"/>
        <v>0.17990274755383903</v>
      </c>
      <c r="CD63" s="3">
        <f t="shared" si="102"/>
        <v>0.17990274774744311</v>
      </c>
      <c r="CE63" s="3">
        <f t="shared" si="102"/>
        <v>0.1799027477537091</v>
      </c>
      <c r="CF63" s="3">
        <f t="shared" si="102"/>
        <v>0.17990274775391188</v>
      </c>
      <c r="CG63" s="3">
        <f t="shared" si="102"/>
        <v>0.17990274775391843</v>
      </c>
      <c r="CH63" s="3">
        <f t="shared" si="102"/>
        <v>0.17990274775391865</v>
      </c>
      <c r="CI63" s="3">
        <f t="shared" si="102"/>
        <v>0.17990274775391865</v>
      </c>
      <c r="CJ63" s="3">
        <f t="shared" si="102"/>
        <v>0.17990274775391865</v>
      </c>
      <c r="CK63" s="3">
        <f t="shared" si="102"/>
        <v>0.17990274775391865</v>
      </c>
      <c r="CL63" s="3">
        <f t="shared" si="102"/>
        <v>0.17990274775391865</v>
      </c>
      <c r="CM63" s="3">
        <f t="shared" si="102"/>
        <v>0.17990274775391865</v>
      </c>
      <c r="CN63" s="3">
        <f t="shared" si="102"/>
        <v>0.17990274775391865</v>
      </c>
      <c r="CO63" s="3">
        <f t="shared" si="102"/>
        <v>0.17990274775391865</v>
      </c>
      <c r="CP63" s="3">
        <f t="shared" si="102"/>
        <v>0.17990274775391865</v>
      </c>
      <c r="CQ63" s="3">
        <f t="shared" si="102"/>
        <v>0.17990274775391865</v>
      </c>
      <c r="CR63" s="3">
        <f t="shared" si="102"/>
        <v>0.17990274775391865</v>
      </c>
      <c r="CS63" s="3">
        <f t="shared" si="102"/>
        <v>0.17990274775391865</v>
      </c>
      <c r="CT63" s="3">
        <f t="shared" si="102"/>
        <v>0.17990274775391865</v>
      </c>
      <c r="CU63" s="3">
        <f t="shared" si="102"/>
        <v>0.17990274775391865</v>
      </c>
      <c r="CV63" s="3">
        <f t="shared" si="102"/>
        <v>0.17990274775391865</v>
      </c>
      <c r="CW63" s="3">
        <f t="shared" si="102"/>
        <v>0.17990274775391865</v>
      </c>
      <c r="CX63" s="3">
        <v>0</v>
      </c>
      <c r="DE63" s="19"/>
      <c r="DF63" s="3">
        <f t="shared" si="59"/>
        <v>0</v>
      </c>
      <c r="DG63" s="3">
        <f t="shared" si="59"/>
        <v>4.1341296613577354</v>
      </c>
      <c r="DH63" s="3">
        <f t="shared" si="60"/>
        <v>8.0687258102309833</v>
      </c>
      <c r="DI63" s="3">
        <f t="shared" si="61"/>
        <v>11.635911464470217</v>
      </c>
      <c r="DJ63" s="3">
        <f t="shared" si="62"/>
        <v>14.770517186566215</v>
      </c>
      <c r="DK63" s="3">
        <f t="shared" si="63"/>
        <v>17.458313898307992</v>
      </c>
      <c r="DL63" s="3">
        <f t="shared" si="64"/>
        <v>19.712161801415881</v>
      </c>
      <c r="DM63" s="3">
        <f t="shared" si="65"/>
        <v>21.55735511173696</v>
      </c>
      <c r="DN63" s="3">
        <f t="shared" si="66"/>
        <v>23.023363759151817</v>
      </c>
      <c r="DO63" s="3">
        <f t="shared" si="67"/>
        <v>24.139648579856622</v>
      </c>
      <c r="DP63" s="3">
        <f t="shared" si="68"/>
        <v>24.933726112009612</v>
      </c>
      <c r="DQ63" s="3">
        <f t="shared" si="69"/>
        <v>25.430306094002155</v>
      </c>
      <c r="DR63" s="3">
        <f t="shared" si="70"/>
        <v>25.650837048516198</v>
      </c>
      <c r="DS63" s="3">
        <f t="shared" si="71"/>
        <v>25.613127619289941</v>
      </c>
      <c r="DT63" s="3">
        <f t="shared" si="72"/>
        <v>25.330902560488255</v>
      </c>
      <c r="DU63" s="3">
        <f t="shared" si="73"/>
        <v>24.813252517389323</v>
      </c>
      <c r="DV63" s="3">
        <f t="shared" si="74"/>
        <v>24.063986846051193</v>
      </c>
      <c r="DW63" s="3">
        <f t="shared" si="75"/>
        <v>23.080929828957672</v>
      </c>
      <c r="DX63" s="3">
        <f t="shared" si="76"/>
        <v>21.855239607754143</v>
      </c>
      <c r="DY63" s="3">
        <f t="shared" si="77"/>
        <v>20.370905480675415</v>
      </c>
      <c r="DZ63" s="3">
        <f t="shared" si="78"/>
        <v>18.604731898887152</v>
      </c>
      <c r="EA63" s="3">
        <f t="shared" si="79"/>
        <v>16.52739904203569</v>
      </c>
      <c r="EB63" s="3">
        <f t="shared" si="80"/>
        <v>14.106658226064566</v>
      </c>
      <c r="EC63" s="3">
        <f t="shared" si="81"/>
        <v>11.314392788631656</v>
      </c>
      <c r="ED63" s="3">
        <f t="shared" si="82"/>
        <v>8.139979924525738</v>
      </c>
      <c r="EE63" s="3">
        <f t="shared" si="83"/>
        <v>4.612383637436765</v>
      </c>
      <c r="EF63" s="3">
        <v>0</v>
      </c>
    </row>
    <row r="64" spans="7:136" x14ac:dyDescent="0.3">
      <c r="G64" s="13"/>
      <c r="H64" s="3">
        <v>0</v>
      </c>
      <c r="I64" s="3">
        <f t="shared" si="5"/>
        <v>6.7894122025019188</v>
      </c>
      <c r="J64" s="3">
        <f t="shared" si="6"/>
        <v>11.904887064109257</v>
      </c>
      <c r="K64" s="3">
        <f t="shared" si="7"/>
        <v>16.365662866015054</v>
      </c>
      <c r="L64" s="3">
        <f t="shared" si="8"/>
        <v>20.145217834721102</v>
      </c>
      <c r="M64" s="3">
        <f t="shared" si="9"/>
        <v>23.283106270963405</v>
      </c>
      <c r="N64" s="3">
        <f t="shared" si="10"/>
        <v>25.842220473030988</v>
      </c>
      <c r="O64" s="3">
        <f t="shared" si="11"/>
        <v>27.887676226347409</v>
      </c>
      <c r="P64" s="3">
        <f t="shared" si="12"/>
        <v>29.478256476940061</v>
      </c>
      <c r="Q64" s="3">
        <f t="shared" si="13"/>
        <v>30.664038992881881</v>
      </c>
      <c r="R64" s="3">
        <f t="shared" si="14"/>
        <v>31.48656643881403</v>
      </c>
      <c r="S64" s="3">
        <f t="shared" si="15"/>
        <v>31.979733522913616</v>
      </c>
      <c r="T64" s="3">
        <f t="shared" si="16"/>
        <v>32.170585405674053</v>
      </c>
      <c r="U64" s="3">
        <f t="shared" si="17"/>
        <v>32.079732765501085</v>
      </c>
      <c r="V64" s="3">
        <f t="shared" si="18"/>
        <v>31.7213164710084</v>
      </c>
      <c r="W64" s="3">
        <f t="shared" si="19"/>
        <v>31.102537542383555</v>
      </c>
      <c r="X64" s="3">
        <f t="shared" si="20"/>
        <v>30.222785139436319</v>
      </c>
      <c r="Y64" s="3">
        <f t="shared" si="21"/>
        <v>29.072394398059267</v>
      </c>
      <c r="Z64" s="3">
        <f t="shared" si="22"/>
        <v>27.631086013051945</v>
      </c>
      <c r="AA64" s="3">
        <f t="shared" si="23"/>
        <v>25.866231266353495</v>
      </c>
      <c r="AB64" s="3">
        <f t="shared" si="24"/>
        <v>23.731335980706429</v>
      </c>
      <c r="AC64" s="3">
        <f t="shared" si="25"/>
        <v>21.165696274071248</v>
      </c>
      <c r="AD64" s="3">
        <f t="shared" si="26"/>
        <v>18.097291051476244</v>
      </c>
      <c r="AE64" s="3">
        <f t="shared" si="27"/>
        <v>14.452943243634097</v>
      </c>
      <c r="AF64" s="3">
        <f t="shared" si="28"/>
        <v>10.182688852067798</v>
      </c>
      <c r="AG64" s="3">
        <f t="shared" si="29"/>
        <v>5.3079559238677332</v>
      </c>
      <c r="AH64" s="3">
        <v>0</v>
      </c>
      <c r="AI64"/>
      <c r="AJ64"/>
      <c r="AK64"/>
      <c r="AL64"/>
      <c r="AO64" s="19"/>
      <c r="AP64" s="3">
        <f t="shared" si="30"/>
        <v>0</v>
      </c>
      <c r="AQ64" s="3">
        <f t="shared" si="31"/>
        <v>-24831453.770522621</v>
      </c>
      <c r="AR64" s="3">
        <f t="shared" si="32"/>
        <v>-43343084.229248688</v>
      </c>
      <c r="AS64" s="3">
        <f t="shared" si="33"/>
        <v>-59373802.160458907</v>
      </c>
      <c r="AT64" s="3">
        <f t="shared" si="34"/>
        <v>-72896883.025963649</v>
      </c>
      <c r="AU64" s="3">
        <f t="shared" si="35"/>
        <v>-84095265.657806113</v>
      </c>
      <c r="AV64" s="3">
        <f t="shared" si="36"/>
        <v>-93214872.338789687</v>
      </c>
      <c r="AW64" s="3">
        <f t="shared" si="37"/>
        <v>-100497550.46781036</v>
      </c>
      <c r="AX64" s="3">
        <f t="shared" si="38"/>
        <v>-106156490.11446781</v>
      </c>
      <c r="AY64" s="3">
        <f t="shared" si="39"/>
        <v>-110371207.0810596</v>
      </c>
      <c r="AZ64" s="3">
        <f t="shared" si="40"/>
        <v>-113289905.00627786</v>
      </c>
      <c r="BA64" s="3">
        <f t="shared" si="41"/>
        <v>-115033431.82777092</v>
      </c>
      <c r="BB64" s="3">
        <f t="shared" si="42"/>
        <v>-115698427.22090223</v>
      </c>
      <c r="BC64" s="3">
        <f t="shared" si="43"/>
        <v>-115358876.20566498</v>
      </c>
      <c r="BD64" s="3">
        <f t="shared" si="44"/>
        <v>-114065967.33967486</v>
      </c>
      <c r="BE64" s="3">
        <f t="shared" si="45"/>
        <v>-111846374.79952681</v>
      </c>
      <c r="BF64" s="3">
        <f t="shared" si="46"/>
        <v>-108699099.06090905</v>
      </c>
      <c r="BG64" s="3">
        <f t="shared" si="47"/>
        <v>-104590960.20660478</v>
      </c>
      <c r="BH64" s="3">
        <f t="shared" si="48"/>
        <v>-99450861.234063327</v>
      </c>
      <c r="BI64" s="3">
        <f t="shared" si="49"/>
        <v>-93163185.333032697</v>
      </c>
      <c r="BJ64" s="3">
        <f t="shared" si="50"/>
        <v>-85561441.786276102</v>
      </c>
      <c r="BK64" s="3">
        <f t="shared" si="51"/>
        <v>-76425048.98705551</v>
      </c>
      <c r="BL64" s="3">
        <f t="shared" si="52"/>
        <v>-65485842.966488294</v>
      </c>
      <c r="BM64" s="3">
        <f t="shared" si="53"/>
        <v>-52457876.133698836</v>
      </c>
      <c r="BN64" s="3">
        <f t="shared" si="54"/>
        <v>-37115637.74242802</v>
      </c>
      <c r="BO64" s="3">
        <f t="shared" si="55"/>
        <v>-19460732.962037485</v>
      </c>
      <c r="BP64" s="3">
        <f t="shared" si="56"/>
        <v>0</v>
      </c>
      <c r="BW64" s="19"/>
      <c r="BX64" s="3">
        <f t="shared" si="57"/>
        <v>0.17426273458445043</v>
      </c>
      <c r="BY64" s="3">
        <f t="shared" ref="BY64:CW64" si="103">$C$19/($C$20-$C$21*BX64)</f>
        <v>0.17972039376148968</v>
      </c>
      <c r="BZ64" s="3">
        <f t="shared" si="103"/>
        <v>0.17989684606081083</v>
      </c>
      <c r="CA64" s="3">
        <f t="shared" si="103"/>
        <v>0.179902556745832</v>
      </c>
      <c r="CB64" s="3">
        <f t="shared" si="103"/>
        <v>0.17990274157194241</v>
      </c>
      <c r="CC64" s="3">
        <f t="shared" si="103"/>
        <v>0.17990274755383903</v>
      </c>
      <c r="CD64" s="3">
        <f t="shared" si="103"/>
        <v>0.17990274774744311</v>
      </c>
      <c r="CE64" s="3">
        <f t="shared" si="103"/>
        <v>0.1799027477537091</v>
      </c>
      <c r="CF64" s="3">
        <f t="shared" si="103"/>
        <v>0.17990274775391188</v>
      </c>
      <c r="CG64" s="3">
        <f t="shared" si="103"/>
        <v>0.17990274775391843</v>
      </c>
      <c r="CH64" s="3">
        <f t="shared" si="103"/>
        <v>0.17990274775391865</v>
      </c>
      <c r="CI64" s="3">
        <f t="shared" si="103"/>
        <v>0.17990274775391865</v>
      </c>
      <c r="CJ64" s="3">
        <f t="shared" si="103"/>
        <v>0.17990274775391865</v>
      </c>
      <c r="CK64" s="3">
        <f t="shared" si="103"/>
        <v>0.17990274775391865</v>
      </c>
      <c r="CL64" s="3">
        <f t="shared" si="103"/>
        <v>0.17990274775391865</v>
      </c>
      <c r="CM64" s="3">
        <f t="shared" si="103"/>
        <v>0.17990274775391865</v>
      </c>
      <c r="CN64" s="3">
        <f t="shared" si="103"/>
        <v>0.17990274775391865</v>
      </c>
      <c r="CO64" s="3">
        <f t="shared" si="103"/>
        <v>0.17990274775391865</v>
      </c>
      <c r="CP64" s="3">
        <f t="shared" si="103"/>
        <v>0.17990274775391865</v>
      </c>
      <c r="CQ64" s="3">
        <f t="shared" si="103"/>
        <v>0.17990274775391865</v>
      </c>
      <c r="CR64" s="3">
        <f t="shared" si="103"/>
        <v>0.17990274775391865</v>
      </c>
      <c r="CS64" s="3">
        <f t="shared" si="103"/>
        <v>0.17990274775391865</v>
      </c>
      <c r="CT64" s="3">
        <f t="shared" si="103"/>
        <v>0.17990274775391865</v>
      </c>
      <c r="CU64" s="3">
        <f t="shared" si="103"/>
        <v>0.17990274775391865</v>
      </c>
      <c r="CV64" s="3">
        <f t="shared" si="103"/>
        <v>0.17990274775391865</v>
      </c>
      <c r="CW64" s="3">
        <f t="shared" si="103"/>
        <v>0.17990274775391865</v>
      </c>
      <c r="CX64" s="3">
        <v>0</v>
      </c>
      <c r="DE64" s="19"/>
      <c r="DF64" s="3">
        <f t="shared" si="59"/>
        <v>0</v>
      </c>
      <c r="DG64" s="3">
        <f t="shared" si="59"/>
        <v>4.6498612116541382</v>
      </c>
      <c r="DH64" s="3">
        <f t="shared" si="60"/>
        <v>8.9607559308186193</v>
      </c>
      <c r="DI64" s="3">
        <f t="shared" si="61"/>
        <v>12.741486671346994</v>
      </c>
      <c r="DJ64" s="3">
        <f t="shared" si="62"/>
        <v>15.956523184263901</v>
      </c>
      <c r="DK64" s="3">
        <f t="shared" si="63"/>
        <v>18.634019804973061</v>
      </c>
      <c r="DL64" s="3">
        <f t="shared" si="64"/>
        <v>20.825150891620044</v>
      </c>
      <c r="DM64" s="3">
        <f t="shared" si="65"/>
        <v>22.584456887157319</v>
      </c>
      <c r="DN64" s="3">
        <f t="shared" si="66"/>
        <v>23.961711604887515</v>
      </c>
      <c r="DO64" s="3">
        <f t="shared" si="67"/>
        <v>24.999519173202927</v>
      </c>
      <c r="DP64" s="3">
        <f t="shared" si="68"/>
        <v>25.733324505603765</v>
      </c>
      <c r="DQ64" s="3">
        <f t="shared" si="69"/>
        <v>26.192156811580741</v>
      </c>
      <c r="DR64" s="3">
        <f t="shared" si="70"/>
        <v>26.399353333948991</v>
      </c>
      <c r="DS64" s="3">
        <f t="shared" si="71"/>
        <v>26.372980769995035</v>
      </c>
      <c r="DT64" s="3">
        <f t="shared" si="72"/>
        <v>26.125884505014184</v>
      </c>
      <c r="DU64" s="3">
        <f t="shared" si="73"/>
        <v>25.665375451022662</v>
      </c>
      <c r="DV64" s="3">
        <f t="shared" si="74"/>
        <v>24.992581503439823</v>
      </c>
      <c r="DW64" s="3">
        <f t="shared" si="75"/>
        <v>24.101486100886355</v>
      </c>
      <c r="DX64" s="3">
        <f t="shared" si="76"/>
        <v>22.97767993419663</v>
      </c>
      <c r="DY64" s="3">
        <f t="shared" si="77"/>
        <v>21.596898715552971</v>
      </c>
      <c r="DZ64" s="3">
        <f t="shared" si="78"/>
        <v>19.923569062876133</v>
      </c>
      <c r="EA64" s="3">
        <f t="shared" si="79"/>
        <v>17.909943887008268</v>
      </c>
      <c r="EB64" s="3">
        <f t="shared" si="80"/>
        <v>15.497166848815036</v>
      </c>
      <c r="EC64" s="3">
        <f t="shared" si="81"/>
        <v>12.621049539623904</v>
      </c>
      <c r="ED64" s="3">
        <f t="shared" si="82"/>
        <v>9.2277729964073032</v>
      </c>
      <c r="EE64" s="3">
        <f t="shared" si="83"/>
        <v>5.3079559238677332</v>
      </c>
      <c r="EF64" s="3">
        <v>0</v>
      </c>
    </row>
    <row r="65" spans="7:136" x14ac:dyDescent="0.3">
      <c r="G65" s="13"/>
      <c r="H65" s="3">
        <v>0</v>
      </c>
      <c r="I65" s="3">
        <f t="shared" si="5"/>
        <v>7.9204887201938057</v>
      </c>
      <c r="J65" s="3">
        <f t="shared" si="6"/>
        <v>13.607720388636638</v>
      </c>
      <c r="K65" s="3">
        <f t="shared" si="7"/>
        <v>18.318146933211477</v>
      </c>
      <c r="L65" s="3">
        <f t="shared" si="8"/>
        <v>22.127992613165219</v>
      </c>
      <c r="M65" s="3">
        <f t="shared" si="9"/>
        <v>25.170675503103716</v>
      </c>
      <c r="N65" s="3">
        <f t="shared" si="10"/>
        <v>27.576816465277549</v>
      </c>
      <c r="O65" s="3">
        <f t="shared" si="11"/>
        <v>29.455221598833909</v>
      </c>
      <c r="P65" s="3">
        <f t="shared" si="12"/>
        <v>30.890884029692096</v>
      </c>
      <c r="Q65" s="3">
        <f t="shared" si="13"/>
        <v>31.948602704553167</v>
      </c>
      <c r="R65" s="3">
        <f t="shared" si="14"/>
        <v>32.677482701845392</v>
      </c>
      <c r="S65" s="3">
        <f t="shared" si="15"/>
        <v>33.114662655095273</v>
      </c>
      <c r="T65" s="3">
        <f t="shared" si="16"/>
        <v>33.287885781443634</v>
      </c>
      <c r="U65" s="3">
        <f t="shared" si="17"/>
        <v>33.21697943813296</v>
      </c>
      <c r="V65" s="3">
        <f t="shared" si="18"/>
        <v>32.914411899602158</v>
      </c>
      <c r="W65" s="3">
        <f t="shared" si="19"/>
        <v>32.385065469456322</v>
      </c>
      <c r="X65" s="3">
        <f t="shared" si="20"/>
        <v>31.625288998672506</v>
      </c>
      <c r="Y65" s="3">
        <f t="shared" si="21"/>
        <v>30.62120575875187</v>
      </c>
      <c r="Z65" s="3">
        <f t="shared" si="22"/>
        <v>29.346177012754222</v>
      </c>
      <c r="AA65" s="3">
        <f t="shared" si="23"/>
        <v>27.757296949975746</v>
      </c>
      <c r="AB65" s="3">
        <f t="shared" si="24"/>
        <v>25.790919040659809</v>
      </c>
      <c r="AC65" s="3">
        <f t="shared" si="25"/>
        <v>23.357724986244147</v>
      </c>
      <c r="AD65" s="3">
        <f t="shared" si="26"/>
        <v>20.339279472049235</v>
      </c>
      <c r="AE65" s="3">
        <f t="shared" si="27"/>
        <v>16.591462575747979</v>
      </c>
      <c r="AF65" s="3">
        <f t="shared" si="28"/>
        <v>11.967579492748213</v>
      </c>
      <c r="AG65" s="3">
        <f t="shared" si="29"/>
        <v>6.3877249061801464</v>
      </c>
      <c r="AH65" s="3">
        <v>0</v>
      </c>
      <c r="AI65"/>
      <c r="AJ65"/>
      <c r="AK65"/>
      <c r="AL65"/>
      <c r="AO65" s="19"/>
      <c r="AP65" s="3">
        <f t="shared" si="30"/>
        <v>0</v>
      </c>
      <c r="AQ65" s="3">
        <f t="shared" si="31"/>
        <v>-29237393.49504815</v>
      </c>
      <c r="AR65" s="3">
        <f t="shared" si="32"/>
        <v>-49761992.486891203</v>
      </c>
      <c r="AS65" s="3">
        <f t="shared" si="33"/>
        <v>-66589846.460753448</v>
      </c>
      <c r="AT65" s="3">
        <f t="shared" si="34"/>
        <v>-80131524.351540312</v>
      </c>
      <c r="AU65" s="3">
        <f t="shared" si="35"/>
        <v>-90923306.784943834</v>
      </c>
      <c r="AV65" s="3">
        <f t="shared" si="36"/>
        <v>-99452113.567745745</v>
      </c>
      <c r="AW65" s="3">
        <f t="shared" si="37"/>
        <v>-106110258.77202046</v>
      </c>
      <c r="AX65" s="3">
        <f t="shared" si="38"/>
        <v>-111199224.58484657</v>
      </c>
      <c r="AY65" s="3">
        <f t="shared" si="39"/>
        <v>-114947190.43966766</v>
      </c>
      <c r="AZ65" s="3">
        <f t="shared" si="40"/>
        <v>-117526767.95179968</v>
      </c>
      <c r="BA65" s="3">
        <f t="shared" si="41"/>
        <v>-119068742.98578215</v>
      </c>
      <c r="BB65" s="3">
        <f t="shared" si="42"/>
        <v>-119671238.19581105</v>
      </c>
      <c r="BC65" s="3">
        <f t="shared" si="43"/>
        <v>-119404859.77113728</v>
      </c>
      <c r="BD65" s="3">
        <f t="shared" si="44"/>
        <v>-118314561.63693497</v>
      </c>
      <c r="BE65" s="3">
        <f t="shared" si="45"/>
        <v>-116418770.84711543</v>
      </c>
      <c r="BF65" s="3">
        <f t="shared" si="46"/>
        <v>-113706011.10294926</v>
      </c>
      <c r="BG65" s="3">
        <f t="shared" si="47"/>
        <v>-110128927.04811068</v>
      </c>
      <c r="BH65" s="3">
        <f t="shared" si="48"/>
        <v>-105595302.89171945</v>
      </c>
      <c r="BI65" s="3">
        <f t="shared" si="49"/>
        <v>-99955486.179844141</v>
      </c>
      <c r="BJ65" s="3">
        <f t="shared" si="50"/>
        <v>-92985845.753937438</v>
      </c>
      <c r="BK65" s="3">
        <f t="shared" si="51"/>
        <v>-84369214.145498797</v>
      </c>
      <c r="BL65" s="3">
        <f t="shared" si="52"/>
        <v>-73677351.180835471</v>
      </c>
      <c r="BM65" s="3">
        <f t="shared" si="53"/>
        <v>-60370974.948375642</v>
      </c>
      <c r="BN65" s="3">
        <f t="shared" si="54"/>
        <v>-43857171.821059592</v>
      </c>
      <c r="BO65" s="3">
        <f t="shared" si="55"/>
        <v>-23694512.996048972</v>
      </c>
      <c r="BP65" s="3">
        <f t="shared" si="56"/>
        <v>0</v>
      </c>
      <c r="BW65" s="19"/>
      <c r="BX65" s="3">
        <f t="shared" si="57"/>
        <v>0.17426273458445043</v>
      </c>
      <c r="BY65" s="3">
        <f t="shared" ref="BY65:CW65" si="104">$C$19/($C$20-$C$21*BX65)</f>
        <v>0.17972039376148968</v>
      </c>
      <c r="BZ65" s="3">
        <f t="shared" si="104"/>
        <v>0.17989684606081083</v>
      </c>
      <c r="CA65" s="3">
        <f t="shared" si="104"/>
        <v>0.179902556745832</v>
      </c>
      <c r="CB65" s="3">
        <f t="shared" si="104"/>
        <v>0.17990274157194241</v>
      </c>
      <c r="CC65" s="3">
        <f t="shared" si="104"/>
        <v>0.17990274755383903</v>
      </c>
      <c r="CD65" s="3">
        <f t="shared" si="104"/>
        <v>0.17990274774744311</v>
      </c>
      <c r="CE65" s="3">
        <f t="shared" si="104"/>
        <v>0.1799027477537091</v>
      </c>
      <c r="CF65" s="3">
        <f t="shared" si="104"/>
        <v>0.17990274775391188</v>
      </c>
      <c r="CG65" s="3">
        <f t="shared" si="104"/>
        <v>0.17990274775391843</v>
      </c>
      <c r="CH65" s="3">
        <f t="shared" si="104"/>
        <v>0.17990274775391865</v>
      </c>
      <c r="CI65" s="3">
        <f t="shared" si="104"/>
        <v>0.17990274775391865</v>
      </c>
      <c r="CJ65" s="3">
        <f t="shared" si="104"/>
        <v>0.17990274775391865</v>
      </c>
      <c r="CK65" s="3">
        <f t="shared" si="104"/>
        <v>0.17990274775391865</v>
      </c>
      <c r="CL65" s="3">
        <f t="shared" si="104"/>
        <v>0.17990274775391865</v>
      </c>
      <c r="CM65" s="3">
        <f t="shared" si="104"/>
        <v>0.17990274775391865</v>
      </c>
      <c r="CN65" s="3">
        <f t="shared" si="104"/>
        <v>0.17990274775391865</v>
      </c>
      <c r="CO65" s="3">
        <f t="shared" si="104"/>
        <v>0.17990274775391865</v>
      </c>
      <c r="CP65" s="3">
        <f t="shared" si="104"/>
        <v>0.17990274775391865</v>
      </c>
      <c r="CQ65" s="3">
        <f t="shared" si="104"/>
        <v>0.17990274775391865</v>
      </c>
      <c r="CR65" s="3">
        <f t="shared" si="104"/>
        <v>0.17990274775391865</v>
      </c>
      <c r="CS65" s="3">
        <f t="shared" si="104"/>
        <v>0.17990274775391865</v>
      </c>
      <c r="CT65" s="3">
        <f t="shared" si="104"/>
        <v>0.17990274775391865</v>
      </c>
      <c r="CU65" s="3">
        <f t="shared" si="104"/>
        <v>0.17990274775391865</v>
      </c>
      <c r="CV65" s="3">
        <f t="shared" si="104"/>
        <v>0.17990274775391865</v>
      </c>
      <c r="CW65" s="3">
        <f t="shared" si="104"/>
        <v>0.17990274775391865</v>
      </c>
      <c r="CX65" s="3">
        <v>0</v>
      </c>
      <c r="DE65" s="19"/>
      <c r="DF65" s="3">
        <f t="shared" si="59"/>
        <v>0</v>
      </c>
      <c r="DG65" s="3">
        <f t="shared" si="59"/>
        <v>5.474903853751778</v>
      </c>
      <c r="DH65" s="3">
        <f t="shared" si="60"/>
        <v>10.312343529673379</v>
      </c>
      <c r="DI65" s="3">
        <f t="shared" si="61"/>
        <v>14.33726448645017</v>
      </c>
      <c r="DJ65" s="3">
        <f t="shared" si="62"/>
        <v>17.599719082939128</v>
      </c>
      <c r="DK65" s="3">
        <f t="shared" si="63"/>
        <v>20.209530452212338</v>
      </c>
      <c r="DL65" s="3">
        <f t="shared" si="64"/>
        <v>22.277741164137495</v>
      </c>
      <c r="DM65" s="3">
        <f t="shared" si="65"/>
        <v>23.897866681351132</v>
      </c>
      <c r="DN65" s="3">
        <f t="shared" si="66"/>
        <v>25.143242616244923</v>
      </c>
      <c r="DO65" s="3">
        <f t="shared" si="67"/>
        <v>26.069833776810043</v>
      </c>
      <c r="DP65" s="3">
        <f t="shared" si="68"/>
        <v>26.720063899249674</v>
      </c>
      <c r="DQ65" s="3">
        <f t="shared" si="69"/>
        <v>27.12608053609496</v>
      </c>
      <c r="DR65" s="3">
        <f t="shared" si="70"/>
        <v>27.312059908438098</v>
      </c>
      <c r="DS65" s="3">
        <f t="shared" si="71"/>
        <v>27.295586296690253</v>
      </c>
      <c r="DT65" s="3">
        <f t="shared" si="72"/>
        <v>27.088249635456418</v>
      </c>
      <c r="DU65" s="3">
        <f t="shared" si="73"/>
        <v>26.695589080083366</v>
      </c>
      <c r="DV65" s="3">
        <f t="shared" si="74"/>
        <v>26.116449943134928</v>
      </c>
      <c r="DW65" s="3">
        <f t="shared" si="75"/>
        <v>25.341747878084501</v>
      </c>
      <c r="DX65" s="3">
        <f t="shared" si="76"/>
        <v>24.352563021232118</v>
      </c>
      <c r="DY65" s="3">
        <f t="shared" si="77"/>
        <v>23.117439747462189</v>
      </c>
      <c r="DZ65" s="3">
        <f t="shared" si="78"/>
        <v>21.588800134354127</v>
      </c>
      <c r="EA65" s="3">
        <f t="shared" si="79"/>
        <v>19.698632721887616</v>
      </c>
      <c r="EB65" s="3">
        <f t="shared" si="80"/>
        <v>17.354429765415865</v>
      </c>
      <c r="EC65" s="3">
        <f t="shared" si="81"/>
        <v>14.438462141039128</v>
      </c>
      <c r="ED65" s="3">
        <f t="shared" si="82"/>
        <v>10.818410230230262</v>
      </c>
      <c r="EE65" s="3">
        <f t="shared" si="83"/>
        <v>6.3877249061801464</v>
      </c>
      <c r="EF65" s="3">
        <v>0</v>
      </c>
    </row>
    <row r="66" spans="7:136" x14ac:dyDescent="0.3">
      <c r="G66" s="13"/>
      <c r="H66" s="3">
        <v>0</v>
      </c>
      <c r="I66" s="3">
        <f t="shared" si="5"/>
        <v>9.7639825118980728</v>
      </c>
      <c r="J66" s="3">
        <f t="shared" si="6"/>
        <v>16.183077691287188</v>
      </c>
      <c r="K66" s="3">
        <f t="shared" si="7"/>
        <v>21.086819348891233</v>
      </c>
      <c r="L66" s="3">
        <f t="shared" si="8"/>
        <v>24.7965979600603</v>
      </c>
      <c r="M66" s="3">
        <f t="shared" si="9"/>
        <v>27.608427163967782</v>
      </c>
      <c r="N66" s="3">
        <f t="shared" si="10"/>
        <v>29.746207619816236</v>
      </c>
      <c r="O66" s="3">
        <f t="shared" si="11"/>
        <v>31.367887439456801</v>
      </c>
      <c r="P66" s="3">
        <f t="shared" si="12"/>
        <v>32.58246085934163</v>
      </c>
      <c r="Q66" s="3">
        <f t="shared" si="13"/>
        <v>33.465229284678855</v>
      </c>
      <c r="R66" s="3">
        <f t="shared" si="14"/>
        <v>34.06883601106594</v>
      </c>
      <c r="S66" s="3">
        <f t="shared" si="15"/>
        <v>34.430513702920607</v>
      </c>
      <c r="T66" s="3">
        <f t="shared" si="16"/>
        <v>34.57652349583082</v>
      </c>
      <c r="U66" s="3">
        <f t="shared" si="17"/>
        <v>34.524624685231025</v>
      </c>
      <c r="V66" s="3">
        <f t="shared" si="18"/>
        <v>34.285146383231442</v>
      </c>
      <c r="W66" s="3">
        <f t="shared" si="19"/>
        <v>33.860983388929753</v>
      </c>
      <c r="X66" s="3">
        <f t="shared" si="20"/>
        <v>33.24662292641532</v>
      </c>
      <c r="Y66" s="3">
        <f t="shared" si="21"/>
        <v>32.426104505699158</v>
      </c>
      <c r="Z66" s="3">
        <f t="shared" si="22"/>
        <v>31.369592388695267</v>
      </c>
      <c r="AA66" s="3">
        <f t="shared" si="23"/>
        <v>30.027978257661168</v>
      </c>
      <c r="AB66" s="3">
        <f t="shared" si="24"/>
        <v>28.324653353934433</v>
      </c>
      <c r="AC66" s="3">
        <f t="shared" si="25"/>
        <v>26.143468039246095</v>
      </c>
      <c r="AD66" s="3">
        <f t="shared" si="26"/>
        <v>23.312569999851075</v>
      </c>
      <c r="AE66" s="3">
        <f t="shared" si="27"/>
        <v>19.587232652524374</v>
      </c>
      <c r="AF66" s="3">
        <f t="shared" si="28"/>
        <v>14.646371048596919</v>
      </c>
      <c r="AG66" s="3">
        <f t="shared" si="29"/>
        <v>8.1510056579582439</v>
      </c>
      <c r="AH66" s="3">
        <v>0</v>
      </c>
      <c r="AI66"/>
      <c r="AJ66"/>
      <c r="AK66"/>
      <c r="AL66"/>
      <c r="AO66" s="19"/>
      <c r="AP66" s="3">
        <f t="shared" si="30"/>
        <v>0</v>
      </c>
      <c r="AQ66" s="3">
        <f t="shared" si="31"/>
        <v>-36610416.955587603</v>
      </c>
      <c r="AR66" s="3">
        <f t="shared" si="32"/>
        <v>-59519247.975888707</v>
      </c>
      <c r="AS66" s="3">
        <f t="shared" si="33"/>
        <v>-76805417.542708844</v>
      </c>
      <c r="AT66" s="3">
        <f t="shared" si="34"/>
        <v>-89832003.195764452</v>
      </c>
      <c r="AU66" s="3">
        <f t="shared" si="35"/>
        <v>-99705957.030663401</v>
      </c>
      <c r="AV66" s="3">
        <f t="shared" si="36"/>
        <v>-107224722.11840436</v>
      </c>
      <c r="AW66" s="3">
        <f t="shared" si="37"/>
        <v>-112938701.75643779</v>
      </c>
      <c r="AX66" s="3">
        <f t="shared" si="38"/>
        <v>-117224320.43092433</v>
      </c>
      <c r="AY66" s="3">
        <f t="shared" si="39"/>
        <v>-120341168.97560531</v>
      </c>
      <c r="AZ66" s="3">
        <f t="shared" si="40"/>
        <v>-122471175.74529164</v>
      </c>
      <c r="BA66" s="3">
        <f t="shared" si="41"/>
        <v>-123743671.09773275</v>
      </c>
      <c r="BB66" s="3">
        <f t="shared" si="42"/>
        <v>-124250509.69608873</v>
      </c>
      <c r="BC66" s="3">
        <f t="shared" si="43"/>
        <v>-124054383.36642893</v>
      </c>
      <c r="BD66" s="3">
        <f t="shared" si="44"/>
        <v>-123192356.92648585</v>
      </c>
      <c r="BE66" s="3">
        <f t="shared" si="45"/>
        <v>-121675751.00662635</v>
      </c>
      <c r="BF66" s="3">
        <f t="shared" si="46"/>
        <v>-119486743.79665229</v>
      </c>
      <c r="BG66" s="3">
        <f t="shared" si="47"/>
        <v>-116571358.64483634</v>
      </c>
      <c r="BH66" s="3">
        <f t="shared" si="48"/>
        <v>-112827725.02854863</v>
      </c>
      <c r="BI66" s="3">
        <f t="shared" si="49"/>
        <v>-108087539.01897129</v>
      </c>
      <c r="BJ66" s="3">
        <f t="shared" si="50"/>
        <v>-102087484.23821497</v>
      </c>
      <c r="BK66" s="3">
        <f t="shared" si="51"/>
        <v>-94426327.117638409</v>
      </c>
      <c r="BL66" s="3">
        <f t="shared" si="52"/>
        <v>-84503942.045868248</v>
      </c>
      <c r="BM66" s="3">
        <f t="shared" si="53"/>
        <v>-71445593.914148122</v>
      </c>
      <c r="BN66" s="3">
        <f t="shared" si="54"/>
        <v>-54043119.129513025</v>
      </c>
      <c r="BO66" s="3">
        <f t="shared" si="55"/>
        <v>-30834814.15731496</v>
      </c>
      <c r="BP66" s="3">
        <f t="shared" si="56"/>
        <v>0</v>
      </c>
      <c r="BW66" s="19"/>
      <c r="BX66" s="3">
        <f t="shared" si="57"/>
        <v>0.17426273458445043</v>
      </c>
      <c r="BY66" s="3">
        <f t="shared" ref="BY66:CW66" si="105">$C$19/($C$20-$C$21*BX66)</f>
        <v>0.17972039376148968</v>
      </c>
      <c r="BZ66" s="3">
        <f t="shared" si="105"/>
        <v>0.17989684606081083</v>
      </c>
      <c r="CA66" s="3">
        <f t="shared" si="105"/>
        <v>0.179902556745832</v>
      </c>
      <c r="CB66" s="3">
        <f t="shared" si="105"/>
        <v>0.17990274157194241</v>
      </c>
      <c r="CC66" s="3">
        <f t="shared" si="105"/>
        <v>0.17990274755383903</v>
      </c>
      <c r="CD66" s="3">
        <f t="shared" si="105"/>
        <v>0.17990274774744311</v>
      </c>
      <c r="CE66" s="3">
        <f t="shared" si="105"/>
        <v>0.1799027477537091</v>
      </c>
      <c r="CF66" s="3">
        <f t="shared" si="105"/>
        <v>0.17990274775391188</v>
      </c>
      <c r="CG66" s="3">
        <f t="shared" si="105"/>
        <v>0.17990274775391843</v>
      </c>
      <c r="CH66" s="3">
        <f t="shared" si="105"/>
        <v>0.17990274775391865</v>
      </c>
      <c r="CI66" s="3">
        <f t="shared" si="105"/>
        <v>0.17990274775391865</v>
      </c>
      <c r="CJ66" s="3">
        <f t="shared" si="105"/>
        <v>0.17990274775391865</v>
      </c>
      <c r="CK66" s="3">
        <f t="shared" si="105"/>
        <v>0.17990274775391865</v>
      </c>
      <c r="CL66" s="3">
        <f t="shared" si="105"/>
        <v>0.17990274775391865</v>
      </c>
      <c r="CM66" s="3">
        <f t="shared" si="105"/>
        <v>0.17990274775391865</v>
      </c>
      <c r="CN66" s="3">
        <f t="shared" si="105"/>
        <v>0.17990274775391865</v>
      </c>
      <c r="CO66" s="3">
        <f t="shared" si="105"/>
        <v>0.17990274775391865</v>
      </c>
      <c r="CP66" s="3">
        <f t="shared" si="105"/>
        <v>0.17990274775391865</v>
      </c>
      <c r="CQ66" s="3">
        <f t="shared" si="105"/>
        <v>0.17990274775391865</v>
      </c>
      <c r="CR66" s="3">
        <f t="shared" si="105"/>
        <v>0.17990274775391865</v>
      </c>
      <c r="CS66" s="3">
        <f t="shared" si="105"/>
        <v>0.17990274775391865</v>
      </c>
      <c r="CT66" s="3">
        <f t="shared" si="105"/>
        <v>0.17990274775391865</v>
      </c>
      <c r="CU66" s="3">
        <f t="shared" si="105"/>
        <v>0.17990274775391865</v>
      </c>
      <c r="CV66" s="3">
        <f t="shared" si="105"/>
        <v>0.17990274775391865</v>
      </c>
      <c r="CW66" s="3">
        <f t="shared" si="105"/>
        <v>0.17990274775391865</v>
      </c>
      <c r="CX66" s="3">
        <v>0</v>
      </c>
      <c r="DE66" s="19"/>
      <c r="DF66" s="3">
        <f t="shared" si="59"/>
        <v>0</v>
      </c>
      <c r="DG66" s="3">
        <f t="shared" si="59"/>
        <v>6.8555534169471599</v>
      </c>
      <c r="DH66" s="3">
        <f t="shared" si="60"/>
        <v>12.389625396967576</v>
      </c>
      <c r="DI66" s="3">
        <f t="shared" si="61"/>
        <v>16.625847977277903</v>
      </c>
      <c r="DJ66" s="3">
        <f t="shared" si="62"/>
        <v>19.829766222773209</v>
      </c>
      <c r="DK66" s="3">
        <f t="shared" si="63"/>
        <v>22.257002683855898</v>
      </c>
      <c r="DL66" s="3">
        <f t="shared" si="64"/>
        <v>24.10303847842545</v>
      </c>
      <c r="DM66" s="3">
        <f t="shared" si="65"/>
        <v>25.506213202283565</v>
      </c>
      <c r="DN66" s="3">
        <f t="shared" si="66"/>
        <v>26.561974156813225</v>
      </c>
      <c r="DO66" s="3">
        <f t="shared" si="67"/>
        <v>27.336152073510448</v>
      </c>
      <c r="DP66" s="3">
        <f t="shared" si="68"/>
        <v>27.874691989331577</v>
      </c>
      <c r="DQ66" s="3">
        <f t="shared" si="69"/>
        <v>28.210102118242713</v>
      </c>
      <c r="DR66" s="3">
        <f t="shared" si="70"/>
        <v>28.365448649784987</v>
      </c>
      <c r="DS66" s="3">
        <f t="shared" si="71"/>
        <v>28.356632643742362</v>
      </c>
      <c r="DT66" s="3">
        <f t="shared" si="72"/>
        <v>28.193462429913183</v>
      </c>
      <c r="DU66" s="3">
        <f t="shared" si="73"/>
        <v>27.879824570929205</v>
      </c>
      <c r="DV66" s="3">
        <f t="shared" si="74"/>
        <v>27.41307762688432</v>
      </c>
      <c r="DW66" s="3">
        <f t="shared" si="75"/>
        <v>26.782628639052465</v>
      </c>
      <c r="DX66" s="3">
        <f t="shared" si="76"/>
        <v>25.967476590647095</v>
      </c>
      <c r="DY66" s="3">
        <f t="shared" si="77"/>
        <v>24.932295290111114</v>
      </c>
      <c r="DZ66" s="3">
        <f t="shared" si="78"/>
        <v>23.62137161785731</v>
      </c>
      <c r="EA66" s="3">
        <f t="shared" si="79"/>
        <v>21.949472639067316</v>
      </c>
      <c r="EB66" s="3">
        <f t="shared" si="80"/>
        <v>19.788773024766662</v>
      </c>
      <c r="EC66" s="3">
        <f t="shared" si="81"/>
        <v>16.952310256258347</v>
      </c>
      <c r="ED66" s="3">
        <f t="shared" si="82"/>
        <v>13.179982733772492</v>
      </c>
      <c r="EE66" s="3">
        <f t="shared" si="83"/>
        <v>8.1510056579582439</v>
      </c>
      <c r="EF66" s="3">
        <v>0</v>
      </c>
    </row>
    <row r="67" spans="7:136" x14ac:dyDescent="0.3">
      <c r="G67" s="13"/>
      <c r="H67" s="3">
        <v>0</v>
      </c>
      <c r="I67" s="3">
        <f t="shared" si="5"/>
        <v>12.948301093925071</v>
      </c>
      <c r="J67" s="3">
        <f t="shared" si="6"/>
        <v>20.153014294357586</v>
      </c>
      <c r="K67" s="3">
        <f t="shared" si="7"/>
        <v>24.990670439591796</v>
      </c>
      <c r="L67" s="3">
        <f t="shared" si="8"/>
        <v>28.314021127192412</v>
      </c>
      <c r="M67" s="3">
        <f t="shared" si="9"/>
        <v>30.66375505683974</v>
      </c>
      <c r="N67" s="3">
        <f t="shared" si="10"/>
        <v>32.365438920059766</v>
      </c>
      <c r="O67" s="3">
        <f t="shared" si="11"/>
        <v>33.614173281071622</v>
      </c>
      <c r="P67" s="3">
        <f t="shared" si="12"/>
        <v>34.528930790044981</v>
      </c>
      <c r="Q67" s="3">
        <f t="shared" si="13"/>
        <v>35.184370801879673</v>
      </c>
      <c r="R67" s="3">
        <f t="shared" si="14"/>
        <v>35.628881404486613</v>
      </c>
      <c r="S67" s="3">
        <f t="shared" si="15"/>
        <v>35.894687537298843</v>
      </c>
      <c r="T67" s="3">
        <f t="shared" si="16"/>
        <v>36.003430342798417</v>
      </c>
      <c r="U67" s="3">
        <f t="shared" si="17"/>
        <v>35.969102239912921</v>
      </c>
      <c r="V67" s="3">
        <f t="shared" si="18"/>
        <v>35.799341632135416</v>
      </c>
      <c r="W67" s="3">
        <f t="shared" si="19"/>
        <v>35.495572802545709</v>
      </c>
      <c r="X67" s="3">
        <f t="shared" si="20"/>
        <v>35.052131855646806</v>
      </c>
      <c r="Y67" s="3">
        <f t="shared" si="21"/>
        <v>34.454220779851418</v>
      </c>
      <c r="Z67" s="3">
        <f t="shared" si="22"/>
        <v>33.674168917488927</v>
      </c>
      <c r="AA67" s="3">
        <f t="shared" si="23"/>
        <v>32.664919789974135</v>
      </c>
      <c r="AB67" s="3">
        <f t="shared" si="24"/>
        <v>31.348698292348196</v>
      </c>
      <c r="AC67" s="3">
        <f t="shared" si="25"/>
        <v>29.597151155942463</v>
      </c>
      <c r="AD67" s="3">
        <f t="shared" si="26"/>
        <v>27.196620161774746</v>
      </c>
      <c r="AE67" s="3">
        <f t="shared" si="27"/>
        <v>23.789186132446424</v>
      </c>
      <c r="AF67" s="3">
        <f t="shared" si="28"/>
        <v>18.781886535979396</v>
      </c>
      <c r="AG67" s="3">
        <f t="shared" si="29"/>
        <v>11.24757596899458</v>
      </c>
      <c r="AH67" s="3">
        <v>0</v>
      </c>
      <c r="AI67"/>
      <c r="AJ67"/>
      <c r="AK67"/>
      <c r="AL67"/>
      <c r="AO67" s="19"/>
      <c r="AP67" s="3">
        <f t="shared" si="30"/>
        <v>0</v>
      </c>
      <c r="AQ67" s="3">
        <f t="shared" si="31"/>
        <v>-49805337.567701615</v>
      </c>
      <c r="AR67" s="3">
        <f t="shared" si="32"/>
        <v>-74580805.602613255</v>
      </c>
      <c r="AS67" s="3">
        <f t="shared" si="33"/>
        <v>-91119884.874001488</v>
      </c>
      <c r="AT67" s="3">
        <f t="shared" si="34"/>
        <v>-102525139.49280202</v>
      </c>
      <c r="AU67" s="3">
        <f t="shared" si="35"/>
        <v>-110643521.19534911</v>
      </c>
      <c r="AV67" s="3">
        <f t="shared" si="36"/>
        <v>-116561914.52791101</v>
      </c>
      <c r="AW67" s="3">
        <f t="shared" si="37"/>
        <v>-120928189.04702167</v>
      </c>
      <c r="AX67" s="3">
        <f t="shared" si="38"/>
        <v>-124138684.44292289</v>
      </c>
      <c r="AY67" s="3">
        <f t="shared" si="39"/>
        <v>-126443962.58866729</v>
      </c>
      <c r="AZ67" s="3">
        <f t="shared" si="40"/>
        <v>-128007938.64574046</v>
      </c>
      <c r="BA67" s="3">
        <f t="shared" si="41"/>
        <v>-128940880.89697994</v>
      </c>
      <c r="BB67" s="3">
        <f t="shared" si="42"/>
        <v>-129317620.81586021</v>
      </c>
      <c r="BC67" s="3">
        <f t="shared" si="43"/>
        <v>-129187120.60137925</v>
      </c>
      <c r="BD67" s="3">
        <f t="shared" si="44"/>
        <v>-128576652.58059178</v>
      </c>
      <c r="BE67" s="3">
        <f t="shared" si="45"/>
        <v>-127492165.96120828</v>
      </c>
      <c r="BF67" s="3">
        <f t="shared" si="46"/>
        <v>-125915302.28102884</v>
      </c>
      <c r="BG67" s="3">
        <f t="shared" si="47"/>
        <v>-123796554.34017761</v>
      </c>
      <c r="BH67" s="3">
        <f t="shared" si="48"/>
        <v>-121042890.85857914</v>
      </c>
      <c r="BI67" s="3">
        <f t="shared" si="49"/>
        <v>-117496349.88608696</v>
      </c>
      <c r="BJ67" s="3">
        <f t="shared" si="50"/>
        <v>-112896934.59836189</v>
      </c>
      <c r="BK67" s="3">
        <f t="shared" si="51"/>
        <v>-106817442.60804522</v>
      </c>
      <c r="BL67" s="3">
        <f t="shared" si="52"/>
        <v>-98547851.436168611</v>
      </c>
      <c r="BM67" s="3">
        <f t="shared" si="53"/>
        <v>-86891075.759135842</v>
      </c>
      <c r="BN67" s="3">
        <f t="shared" si="54"/>
        <v>-69814715.469465122</v>
      </c>
      <c r="BO67" s="3">
        <f t="shared" si="55"/>
        <v>-43920120.507027112</v>
      </c>
      <c r="BP67" s="3">
        <f t="shared" si="56"/>
        <v>0</v>
      </c>
      <c r="BW67" s="19"/>
      <c r="BX67" s="3">
        <f t="shared" si="57"/>
        <v>0.17426273458445043</v>
      </c>
      <c r="BY67" s="3">
        <f t="shared" ref="BY67:CW67" si="106">$C$19/($C$20-$C$21*BX67)</f>
        <v>0.17972039376148968</v>
      </c>
      <c r="BZ67" s="3">
        <f t="shared" si="106"/>
        <v>0.17989684606081083</v>
      </c>
      <c r="CA67" s="3">
        <f t="shared" si="106"/>
        <v>0.179902556745832</v>
      </c>
      <c r="CB67" s="3">
        <f t="shared" si="106"/>
        <v>0.17990274157194241</v>
      </c>
      <c r="CC67" s="3">
        <f t="shared" si="106"/>
        <v>0.17990274755383903</v>
      </c>
      <c r="CD67" s="3">
        <f t="shared" si="106"/>
        <v>0.17990274774744311</v>
      </c>
      <c r="CE67" s="3">
        <f t="shared" si="106"/>
        <v>0.1799027477537091</v>
      </c>
      <c r="CF67" s="3">
        <f t="shared" si="106"/>
        <v>0.17990274775391188</v>
      </c>
      <c r="CG67" s="3">
        <f t="shared" si="106"/>
        <v>0.17990274775391843</v>
      </c>
      <c r="CH67" s="3">
        <f t="shared" si="106"/>
        <v>0.17990274775391865</v>
      </c>
      <c r="CI67" s="3">
        <f t="shared" si="106"/>
        <v>0.17990274775391865</v>
      </c>
      <c r="CJ67" s="3">
        <f t="shared" si="106"/>
        <v>0.17990274775391865</v>
      </c>
      <c r="CK67" s="3">
        <f t="shared" si="106"/>
        <v>0.17990274775391865</v>
      </c>
      <c r="CL67" s="3">
        <f t="shared" si="106"/>
        <v>0.17990274775391865</v>
      </c>
      <c r="CM67" s="3">
        <f t="shared" si="106"/>
        <v>0.17990274775391865</v>
      </c>
      <c r="CN67" s="3">
        <f t="shared" si="106"/>
        <v>0.17990274775391865</v>
      </c>
      <c r="CO67" s="3">
        <f t="shared" si="106"/>
        <v>0.17990274775391865</v>
      </c>
      <c r="CP67" s="3">
        <f t="shared" si="106"/>
        <v>0.17990274775391865</v>
      </c>
      <c r="CQ67" s="3">
        <f t="shared" si="106"/>
        <v>0.17990274775391865</v>
      </c>
      <c r="CR67" s="3">
        <f t="shared" si="106"/>
        <v>0.17990274775391865</v>
      </c>
      <c r="CS67" s="3">
        <f t="shared" si="106"/>
        <v>0.17990274775391865</v>
      </c>
      <c r="CT67" s="3">
        <f t="shared" si="106"/>
        <v>0.17990274775391865</v>
      </c>
      <c r="CU67" s="3">
        <f t="shared" si="106"/>
        <v>0.17990274775391865</v>
      </c>
      <c r="CV67" s="3">
        <f t="shared" si="106"/>
        <v>0.17990274775391865</v>
      </c>
      <c r="CW67" s="3">
        <f t="shared" si="106"/>
        <v>0.17990274775391865</v>
      </c>
      <c r="CX67" s="3">
        <v>0</v>
      </c>
      <c r="DE67" s="19"/>
      <c r="DF67" s="3">
        <f t="shared" si="59"/>
        <v>0</v>
      </c>
      <c r="DG67" s="3">
        <f t="shared" si="59"/>
        <v>9.3263934294621951</v>
      </c>
      <c r="DH67" s="3">
        <f t="shared" si="60"/>
        <v>15.657271501329886</v>
      </c>
      <c r="DI67" s="3">
        <f t="shared" si="61"/>
        <v>19.896905647054378</v>
      </c>
      <c r="DJ67" s="3">
        <f t="shared" si="62"/>
        <v>22.797527525576427</v>
      </c>
      <c r="DK67" s="3">
        <f t="shared" si="63"/>
        <v>24.841123669335033</v>
      </c>
      <c r="DL67" s="3">
        <f t="shared" si="64"/>
        <v>26.318156783536296</v>
      </c>
      <c r="DM67" s="3">
        <f t="shared" si="65"/>
        <v>27.402323754944881</v>
      </c>
      <c r="DN67" s="3">
        <f t="shared" si="66"/>
        <v>28.199165804794323</v>
      </c>
      <c r="DO67" s="3">
        <f t="shared" si="67"/>
        <v>28.774637137814043</v>
      </c>
      <c r="DP67" s="3">
        <f t="shared" si="68"/>
        <v>29.171328486758213</v>
      </c>
      <c r="DQ67" s="3">
        <f t="shared" si="69"/>
        <v>29.417571490062596</v>
      </c>
      <c r="DR67" s="3">
        <f t="shared" si="70"/>
        <v>29.532490015596455</v>
      </c>
      <c r="DS67" s="3">
        <f t="shared" si="71"/>
        <v>29.528702312510507</v>
      </c>
      <c r="DT67" s="3">
        <f t="shared" si="72"/>
        <v>29.413590551858181</v>
      </c>
      <c r="DU67" s="3">
        <f t="shared" si="73"/>
        <v>29.189597967082182</v>
      </c>
      <c r="DV67" s="3">
        <f t="shared" si="74"/>
        <v>28.853722865631376</v>
      </c>
      <c r="DW67" s="3">
        <f t="shared" si="75"/>
        <v>28.396145263265563</v>
      </c>
      <c r="DX67" s="3">
        <f t="shared" si="76"/>
        <v>27.797660092111222</v>
      </c>
      <c r="DY67" s="3">
        <f t="shared" si="77"/>
        <v>27.025202828672114</v>
      </c>
      <c r="DZ67" s="3">
        <f t="shared" si="78"/>
        <v>26.024089473706077</v>
      </c>
      <c r="EA67" s="3">
        <f t="shared" si="79"/>
        <v>24.704404459219564</v>
      </c>
      <c r="EB67" s="3">
        <f t="shared" si="80"/>
        <v>22.916880209718219</v>
      </c>
      <c r="EC67" s="3">
        <f t="shared" si="81"/>
        <v>20.410273136621402</v>
      </c>
      <c r="ED67" s="3">
        <f t="shared" si="82"/>
        <v>16.758416713586328</v>
      </c>
      <c r="EE67" s="3">
        <f t="shared" si="83"/>
        <v>11.24757596899458</v>
      </c>
      <c r="EF67" s="3">
        <v>0</v>
      </c>
    </row>
    <row r="68" spans="7:136" x14ac:dyDescent="0.3">
      <c r="G68" s="13"/>
      <c r="H68" s="3">
        <v>0</v>
      </c>
      <c r="I68" s="3">
        <f t="shared" si="5"/>
        <v>18.87343572775783</v>
      </c>
      <c r="J68" s="3">
        <f t="shared" si="6"/>
        <v>26.391953962067713</v>
      </c>
      <c r="K68" s="3">
        <f t="shared" si="7"/>
        <v>30.423539587967596</v>
      </c>
      <c r="L68" s="3">
        <f t="shared" si="8"/>
        <v>32.812671977764602</v>
      </c>
      <c r="M68" s="3">
        <f t="shared" si="9"/>
        <v>34.351015194727708</v>
      </c>
      <c r="N68" s="3">
        <f t="shared" si="10"/>
        <v>35.402796003736619</v>
      </c>
      <c r="O68" s="3">
        <f t="shared" si="11"/>
        <v>36.148139474479912</v>
      </c>
      <c r="P68" s="3">
        <f t="shared" si="12"/>
        <v>36.682733321242594</v>
      </c>
      <c r="Q68" s="3">
        <f t="shared" si="13"/>
        <v>37.060969642162874</v>
      </c>
      <c r="R68" s="3">
        <f t="shared" si="14"/>
        <v>37.315686469108655</v>
      </c>
      <c r="S68" s="3">
        <f t="shared" si="15"/>
        <v>37.467659997711294</v>
      </c>
      <c r="T68" s="3">
        <f t="shared" si="16"/>
        <v>37.530320953964555</v>
      </c>
      <c r="U68" s="3">
        <f t="shared" si="17"/>
        <v>37.512080566705407</v>
      </c>
      <c r="V68" s="3">
        <f t="shared" si="18"/>
        <v>37.417337792759135</v>
      </c>
      <c r="W68" s="3">
        <f t="shared" si="19"/>
        <v>37.246629972237798</v>
      </c>
      <c r="X68" s="3">
        <f t="shared" si="20"/>
        <v>36.996050929918042</v>
      </c>
      <c r="Y68" s="3">
        <f t="shared" si="21"/>
        <v>36.655787721021213</v>
      </c>
      <c r="Z68" s="3">
        <f t="shared" si="22"/>
        <v>36.207266307456138</v>
      </c>
      <c r="AA68" s="3">
        <f t="shared" si="23"/>
        <v>35.617724490162963</v>
      </c>
      <c r="AB68" s="3">
        <f t="shared" si="24"/>
        <v>34.829563957878534</v>
      </c>
      <c r="AC68" s="3">
        <f t="shared" si="25"/>
        <v>33.738367065646429</v>
      </c>
      <c r="AD68" s="3">
        <f t="shared" si="26"/>
        <v>32.144813861314852</v>
      </c>
      <c r="AE68" s="3">
        <f t="shared" si="27"/>
        <v>29.64316426098927</v>
      </c>
      <c r="AF68" s="3">
        <f t="shared" si="28"/>
        <v>25.347752320411548</v>
      </c>
      <c r="AG68" s="3">
        <f t="shared" si="29"/>
        <v>17.187200003042694</v>
      </c>
      <c r="AH68" s="3">
        <v>0</v>
      </c>
      <c r="AI68"/>
      <c r="AJ68"/>
      <c r="AK68"/>
      <c r="AL68"/>
      <c r="AO68" s="19"/>
      <c r="AP68" s="3">
        <f t="shared" si="30"/>
        <v>0</v>
      </c>
      <c r="AQ68" s="3">
        <f t="shared" si="31"/>
        <v>-75459237.524578974</v>
      </c>
      <c r="AR68" s="3">
        <f t="shared" si="32"/>
        <v>-98040925.148958147</v>
      </c>
      <c r="AS68" s="3">
        <f t="shared" si="33"/>
        <v>-110736009.60427758</v>
      </c>
      <c r="AT68" s="3">
        <f t="shared" si="34"/>
        <v>-118548414.59073924</v>
      </c>
      <c r="AU68" s="3">
        <f t="shared" si="35"/>
        <v>-123718422.29145288</v>
      </c>
      <c r="AV68" s="3">
        <f t="shared" si="36"/>
        <v>-127319336.24260165</v>
      </c>
      <c r="AW68" s="3">
        <f t="shared" si="37"/>
        <v>-129901792.03651111</v>
      </c>
      <c r="AX68" s="3">
        <f t="shared" si="38"/>
        <v>-131767711.77463062</v>
      </c>
      <c r="AY68" s="3">
        <f t="shared" si="39"/>
        <v>-133093307.29165547</v>
      </c>
      <c r="AZ68" s="3">
        <f t="shared" si="40"/>
        <v>-133987291.24885564</v>
      </c>
      <c r="BA68" s="3">
        <f t="shared" si="41"/>
        <v>-134519682.08875653</v>
      </c>
      <c r="BB68" s="3">
        <f t="shared" si="42"/>
        <v>-134736436.89695635</v>
      </c>
      <c r="BC68" s="3">
        <f t="shared" si="43"/>
        <v>-134666768.47508049</v>
      </c>
      <c r="BD68" s="3">
        <f t="shared" si="44"/>
        <v>-134326315.6883302</v>
      </c>
      <c r="BE68" s="3">
        <f t="shared" si="45"/>
        <v>-133717564.99202637</v>
      </c>
      <c r="BF68" s="3">
        <f t="shared" si="46"/>
        <v>-132827905.39222126</v>
      </c>
      <c r="BG68" s="3">
        <f t="shared" si="47"/>
        <v>-131624867.48908475</v>
      </c>
      <c r="BH68" s="3">
        <f t="shared" si="48"/>
        <v>-130047016.27887881</v>
      </c>
      <c r="BI68" s="3">
        <f t="shared" si="49"/>
        <v>-127987020.3954383</v>
      </c>
      <c r="BJ68" s="3">
        <f t="shared" si="50"/>
        <v>-125259315.56262538</v>
      </c>
      <c r="BK68" s="3">
        <f t="shared" si="51"/>
        <v>-121535399.05255932</v>
      </c>
      <c r="BL68" s="3">
        <f t="shared" si="52"/>
        <v>-116207140.45321958</v>
      </c>
      <c r="BM68" s="3">
        <f t="shared" si="53"/>
        <v>-108081242.31079003</v>
      </c>
      <c r="BN68" s="3">
        <f t="shared" si="54"/>
        <v>-94657315.731707528</v>
      </c>
      <c r="BO68" s="3">
        <f t="shared" si="55"/>
        <v>-70331026.587266386</v>
      </c>
      <c r="BP68" s="3">
        <f t="shared" si="56"/>
        <v>0</v>
      </c>
      <c r="BW68" s="19"/>
      <c r="BX68" s="3">
        <f t="shared" si="57"/>
        <v>0.17426273458445043</v>
      </c>
      <c r="BY68" s="3">
        <f t="shared" ref="BY68:CW68" si="107">$C$19/($C$20-$C$21*BX68)</f>
        <v>0.17972039376148968</v>
      </c>
      <c r="BZ68" s="3">
        <f t="shared" si="107"/>
        <v>0.17989684606081083</v>
      </c>
      <c r="CA68" s="3">
        <f t="shared" si="107"/>
        <v>0.179902556745832</v>
      </c>
      <c r="CB68" s="3">
        <f t="shared" si="107"/>
        <v>0.17990274157194241</v>
      </c>
      <c r="CC68" s="3">
        <f t="shared" si="107"/>
        <v>0.17990274755383903</v>
      </c>
      <c r="CD68" s="3">
        <f t="shared" si="107"/>
        <v>0.17990274774744311</v>
      </c>
      <c r="CE68" s="3">
        <f t="shared" si="107"/>
        <v>0.1799027477537091</v>
      </c>
      <c r="CF68" s="3">
        <f t="shared" si="107"/>
        <v>0.17990274775391188</v>
      </c>
      <c r="CG68" s="3">
        <f t="shared" si="107"/>
        <v>0.17990274775391843</v>
      </c>
      <c r="CH68" s="3">
        <f t="shared" si="107"/>
        <v>0.17990274775391865</v>
      </c>
      <c r="CI68" s="3">
        <f t="shared" si="107"/>
        <v>0.17990274775391865</v>
      </c>
      <c r="CJ68" s="3">
        <f t="shared" si="107"/>
        <v>0.17990274775391865</v>
      </c>
      <c r="CK68" s="3">
        <f t="shared" si="107"/>
        <v>0.17990274775391865</v>
      </c>
      <c r="CL68" s="3">
        <f t="shared" si="107"/>
        <v>0.17990274775391865</v>
      </c>
      <c r="CM68" s="3">
        <f t="shared" si="107"/>
        <v>0.17990274775391865</v>
      </c>
      <c r="CN68" s="3">
        <f t="shared" si="107"/>
        <v>0.17990274775391865</v>
      </c>
      <c r="CO68" s="3">
        <f t="shared" si="107"/>
        <v>0.17990274775391865</v>
      </c>
      <c r="CP68" s="3">
        <f t="shared" si="107"/>
        <v>0.17990274775391865</v>
      </c>
      <c r="CQ68" s="3">
        <f t="shared" si="107"/>
        <v>0.17990274775391865</v>
      </c>
      <c r="CR68" s="3">
        <f t="shared" si="107"/>
        <v>0.17990274775391865</v>
      </c>
      <c r="CS68" s="3">
        <f t="shared" si="107"/>
        <v>0.17990274775391865</v>
      </c>
      <c r="CT68" s="3">
        <f t="shared" si="107"/>
        <v>0.17990274775391865</v>
      </c>
      <c r="CU68" s="3">
        <f t="shared" si="107"/>
        <v>0.17990274775391865</v>
      </c>
      <c r="CV68" s="3">
        <f t="shared" si="107"/>
        <v>0.17990274775391865</v>
      </c>
      <c r="CW68" s="3">
        <f t="shared" si="107"/>
        <v>0.17990274775391865</v>
      </c>
      <c r="CX68" s="3">
        <v>0</v>
      </c>
      <c r="DE68" s="19"/>
      <c r="DF68" s="3">
        <f t="shared" si="59"/>
        <v>0</v>
      </c>
      <c r="DG68" s="3">
        <f t="shared" si="59"/>
        <v>14.130263369559914</v>
      </c>
      <c r="DH68" s="3">
        <f t="shared" si="60"/>
        <v>20.918855144186121</v>
      </c>
      <c r="DI68" s="3">
        <f t="shared" si="61"/>
        <v>24.520456005505427</v>
      </c>
      <c r="DJ68" s="3">
        <f t="shared" si="62"/>
        <v>26.632830168453637</v>
      </c>
      <c r="DK68" s="3">
        <f t="shared" si="63"/>
        <v>27.981954922567418</v>
      </c>
      <c r="DL68" s="3">
        <f t="shared" si="64"/>
        <v>28.899646386319866</v>
      </c>
      <c r="DM68" s="3">
        <f t="shared" si="65"/>
        <v>29.548814954871826</v>
      </c>
      <c r="DN68" s="3">
        <f t="shared" si="66"/>
        <v>30.01536304819318</v>
      </c>
      <c r="DO68" s="3">
        <f t="shared" si="67"/>
        <v>30.347775112046516</v>
      </c>
      <c r="DP68" s="3">
        <f t="shared" si="68"/>
        <v>30.575151483610814</v>
      </c>
      <c r="DQ68" s="3">
        <f t="shared" si="69"/>
        <v>30.7158521340066</v>
      </c>
      <c r="DR68" s="3">
        <f t="shared" si="70"/>
        <v>30.781794586047877</v>
      </c>
      <c r="DS68" s="3">
        <f t="shared" si="71"/>
        <v>30.780598684151496</v>
      </c>
      <c r="DT68" s="3">
        <f t="shared" si="72"/>
        <v>30.71656671618009</v>
      </c>
      <c r="DU68" s="3">
        <f t="shared" si="73"/>
        <v>30.590938753901625</v>
      </c>
      <c r="DV68" s="3">
        <f t="shared" si="74"/>
        <v>30.40157399782197</v>
      </c>
      <c r="DW68" s="3">
        <f t="shared" si="75"/>
        <v>30.142001023651975</v>
      </c>
      <c r="DX68" s="3">
        <f t="shared" si="76"/>
        <v>29.799539802933776</v>
      </c>
      <c r="DY68" s="3">
        <f t="shared" si="77"/>
        <v>29.351790231069764</v>
      </c>
      <c r="DZ68" s="3">
        <f t="shared" si="78"/>
        <v>28.759939018038427</v>
      </c>
      <c r="EA68" s="3">
        <f t="shared" si="79"/>
        <v>27.955426725957636</v>
      </c>
      <c r="EB68" s="3">
        <f t="shared" si="80"/>
        <v>26.811927158642121</v>
      </c>
      <c r="EC68" s="3">
        <f t="shared" si="81"/>
        <v>25.083033969161466</v>
      </c>
      <c r="ED68" s="3">
        <f t="shared" si="82"/>
        <v>22.25572781366801</v>
      </c>
      <c r="EE68" s="3">
        <f t="shared" si="83"/>
        <v>17.187200003042694</v>
      </c>
      <c r="EF68" s="3">
        <v>0</v>
      </c>
    </row>
    <row r="69" spans="7:136" x14ac:dyDescent="0.3">
      <c r="G69" s="13"/>
      <c r="H69" s="3">
        <v>0</v>
      </c>
      <c r="I69" s="3">
        <v>50</v>
      </c>
      <c r="J69" s="3">
        <v>50</v>
      </c>
      <c r="K69" s="3">
        <v>50</v>
      </c>
      <c r="L69" s="3">
        <v>50</v>
      </c>
      <c r="M69" s="3">
        <v>50</v>
      </c>
      <c r="N69" s="3">
        <v>50</v>
      </c>
      <c r="O69" s="3">
        <v>50</v>
      </c>
      <c r="P69" s="3">
        <v>50</v>
      </c>
      <c r="Q69" s="3">
        <v>50</v>
      </c>
      <c r="R69" s="3">
        <v>50</v>
      </c>
      <c r="S69" s="3">
        <v>50</v>
      </c>
      <c r="T69" s="3">
        <v>50</v>
      </c>
      <c r="U69" s="3">
        <v>50</v>
      </c>
      <c r="V69" s="3">
        <v>50</v>
      </c>
      <c r="W69" s="3">
        <v>50</v>
      </c>
      <c r="X69" s="3">
        <v>50</v>
      </c>
      <c r="Y69" s="3">
        <v>50</v>
      </c>
      <c r="Z69" s="3">
        <v>50</v>
      </c>
      <c r="AA69" s="3">
        <v>50</v>
      </c>
      <c r="AB69" s="3">
        <v>50</v>
      </c>
      <c r="AC69" s="3">
        <v>50</v>
      </c>
      <c r="AD69" s="3">
        <v>50</v>
      </c>
      <c r="AE69" s="3">
        <v>50</v>
      </c>
      <c r="AF69" s="3">
        <v>50</v>
      </c>
      <c r="AG69" s="3">
        <v>50</v>
      </c>
      <c r="AH69" s="3">
        <v>0</v>
      </c>
      <c r="AI69"/>
      <c r="AJ69"/>
      <c r="AK69"/>
      <c r="AL69"/>
      <c r="AO69" s="19"/>
      <c r="AP69" s="3">
        <f t="shared" si="30"/>
        <v>0</v>
      </c>
      <c r="AQ69" s="3">
        <f t="shared" si="31"/>
        <v>-179400000</v>
      </c>
      <c r="AR69" s="3">
        <f t="shared" si="32"/>
        <v>-179400000</v>
      </c>
      <c r="AS69" s="3">
        <f t="shared" si="33"/>
        <v>-179400000</v>
      </c>
      <c r="AT69" s="3">
        <f t="shared" si="34"/>
        <v>-179400000</v>
      </c>
      <c r="AU69" s="3">
        <f t="shared" si="35"/>
        <v>-179400000</v>
      </c>
      <c r="AV69" s="3">
        <f t="shared" si="36"/>
        <v>-179400000</v>
      </c>
      <c r="AW69" s="3">
        <f t="shared" si="37"/>
        <v>-179400000</v>
      </c>
      <c r="AX69" s="3">
        <f t="shared" si="38"/>
        <v>-179400000</v>
      </c>
      <c r="AY69" s="3">
        <f t="shared" si="39"/>
        <v>-179400000</v>
      </c>
      <c r="AZ69" s="3">
        <f t="shared" si="40"/>
        <v>-179400000</v>
      </c>
      <c r="BA69" s="3">
        <f t="shared" si="41"/>
        <v>-179400000</v>
      </c>
      <c r="BB69" s="3">
        <f t="shared" si="42"/>
        <v>-179400000</v>
      </c>
      <c r="BC69" s="3">
        <f t="shared" si="43"/>
        <v>-179400000</v>
      </c>
      <c r="BD69" s="3">
        <f t="shared" si="44"/>
        <v>-179400000</v>
      </c>
      <c r="BE69" s="3">
        <f t="shared" si="45"/>
        <v>-179400000</v>
      </c>
      <c r="BF69" s="3">
        <f t="shared" si="46"/>
        <v>-179400000</v>
      </c>
      <c r="BG69" s="3">
        <f t="shared" si="47"/>
        <v>-179400000</v>
      </c>
      <c r="BH69" s="3">
        <f t="shared" si="48"/>
        <v>-179400000</v>
      </c>
      <c r="BI69" s="3">
        <f t="shared" si="49"/>
        <v>-179400000</v>
      </c>
      <c r="BJ69" s="3">
        <f t="shared" si="50"/>
        <v>-179400000</v>
      </c>
      <c r="BK69" s="3">
        <f t="shared" si="51"/>
        <v>-179400000</v>
      </c>
      <c r="BL69" s="3">
        <f t="shared" si="52"/>
        <v>-179400000</v>
      </c>
      <c r="BM69" s="3">
        <f t="shared" si="53"/>
        <v>-179400000</v>
      </c>
      <c r="BN69" s="3">
        <f t="shared" si="54"/>
        <v>-179400000</v>
      </c>
      <c r="BO69" s="3">
        <f t="shared" si="55"/>
        <v>-179400000</v>
      </c>
      <c r="BP69" s="3">
        <f t="shared" si="56"/>
        <v>0</v>
      </c>
      <c r="BW69" s="19"/>
      <c r="BX69" s="3">
        <v>0</v>
      </c>
      <c r="BY69" s="3">
        <v>0</v>
      </c>
      <c r="BZ69" s="3">
        <v>0</v>
      </c>
      <c r="CA69" s="3">
        <v>0</v>
      </c>
      <c r="CB69" s="3">
        <v>0</v>
      </c>
      <c r="CC69" s="3">
        <v>0</v>
      </c>
      <c r="CD69" s="3">
        <v>0</v>
      </c>
      <c r="CE69" s="3">
        <v>0</v>
      </c>
      <c r="CF69" s="3">
        <v>0</v>
      </c>
      <c r="CG69" s="3">
        <v>0</v>
      </c>
      <c r="CH69" s="3">
        <v>0</v>
      </c>
      <c r="CI69" s="3">
        <v>0</v>
      </c>
      <c r="CJ69" s="3">
        <v>0</v>
      </c>
      <c r="CK69" s="3">
        <v>0</v>
      </c>
      <c r="CL69" s="3">
        <v>0</v>
      </c>
      <c r="CM69" s="3">
        <v>0</v>
      </c>
      <c r="CN69" s="3">
        <v>0</v>
      </c>
      <c r="CO69" s="3">
        <v>0</v>
      </c>
      <c r="CP69" s="3">
        <v>0</v>
      </c>
      <c r="CQ69" s="3">
        <v>0</v>
      </c>
      <c r="CR69" s="3">
        <v>0</v>
      </c>
      <c r="CS69" s="3">
        <v>0</v>
      </c>
      <c r="CT69" s="3">
        <v>0</v>
      </c>
      <c r="CU69" s="3">
        <v>0</v>
      </c>
      <c r="CV69" s="3">
        <v>0</v>
      </c>
      <c r="CW69" s="3">
        <v>0</v>
      </c>
      <c r="CX69" s="3">
        <v>0</v>
      </c>
      <c r="DE69" s="19"/>
      <c r="DF69" s="3">
        <f t="shared" si="59"/>
        <v>0</v>
      </c>
      <c r="DG69" s="3">
        <v>50</v>
      </c>
      <c r="DH69" s="3">
        <v>50</v>
      </c>
      <c r="DI69" s="3">
        <v>50</v>
      </c>
      <c r="DJ69" s="3">
        <v>50</v>
      </c>
      <c r="DK69" s="3">
        <v>50</v>
      </c>
      <c r="DL69" s="3">
        <v>50</v>
      </c>
      <c r="DM69" s="3">
        <v>50</v>
      </c>
      <c r="DN69" s="3">
        <v>50</v>
      </c>
      <c r="DO69" s="3">
        <v>50</v>
      </c>
      <c r="DP69" s="3">
        <v>50</v>
      </c>
      <c r="DQ69" s="3">
        <v>50</v>
      </c>
      <c r="DR69" s="3">
        <v>50</v>
      </c>
      <c r="DS69" s="3">
        <v>50</v>
      </c>
      <c r="DT69" s="3">
        <v>50</v>
      </c>
      <c r="DU69" s="3">
        <v>50</v>
      </c>
      <c r="DV69" s="3">
        <v>50</v>
      </c>
      <c r="DW69" s="3">
        <v>50</v>
      </c>
      <c r="DX69" s="3">
        <v>50</v>
      </c>
      <c r="DY69" s="3">
        <v>50</v>
      </c>
      <c r="DZ69" s="3">
        <v>50</v>
      </c>
      <c r="EA69" s="3">
        <v>50</v>
      </c>
      <c r="EB69" s="3">
        <v>50</v>
      </c>
      <c r="EC69" s="3">
        <v>50</v>
      </c>
      <c r="ED69" s="3">
        <v>50</v>
      </c>
      <c r="EE69" s="3">
        <v>50</v>
      </c>
      <c r="EF69" s="3">
        <v>0</v>
      </c>
    </row>
    <row r="70" spans="7:136" x14ac:dyDescent="0.3">
      <c r="G70"/>
      <c r="H70"/>
      <c r="AI70"/>
      <c r="AJ70"/>
      <c r="AK70"/>
      <c r="AL70"/>
      <c r="AO70" s="19"/>
      <c r="BW70" s="10"/>
      <c r="DE70" s="10"/>
    </row>
    <row r="71" spans="7:136" x14ac:dyDescent="0.3">
      <c r="G71"/>
      <c r="H71"/>
      <c r="AI71"/>
      <c r="AJ71"/>
      <c r="AK71"/>
      <c r="AL71"/>
      <c r="AO71" s="19"/>
      <c r="BW71" s="10"/>
      <c r="DE71" s="10"/>
    </row>
    <row r="72" spans="7:136" x14ac:dyDescent="0.3">
      <c r="G72"/>
      <c r="H72"/>
      <c r="AI72"/>
      <c r="AJ72"/>
      <c r="AK72"/>
      <c r="AL72"/>
      <c r="AO72" s="19"/>
      <c r="BW72" s="10"/>
      <c r="DE72" s="10"/>
    </row>
    <row r="73" spans="7:136" x14ac:dyDescent="0.3">
      <c r="G73"/>
      <c r="H73"/>
      <c r="AI73"/>
      <c r="AJ73"/>
      <c r="AK73"/>
      <c r="AL73"/>
      <c r="AO73" s="19"/>
      <c r="BW73" s="10"/>
      <c r="DE73" s="10"/>
    </row>
    <row r="74" spans="7:136" x14ac:dyDescent="0.3">
      <c r="DE74" s="11"/>
    </row>
    <row r="75" spans="7:136" x14ac:dyDescent="0.3">
      <c r="G75" s="12" t="s">
        <v>30</v>
      </c>
      <c r="H75" s="9">
        <v>0</v>
      </c>
      <c r="I75" s="8">
        <f t="shared" ref="I75:AH75" si="108">H75+$C$4</f>
        <v>6.9230769230769224E-3</v>
      </c>
      <c r="J75" s="8">
        <f t="shared" si="108"/>
        <v>1.3846153846153845E-2</v>
      </c>
      <c r="K75" s="8">
        <f t="shared" si="108"/>
        <v>2.0769230769230769E-2</v>
      </c>
      <c r="L75" s="8">
        <f t="shared" si="108"/>
        <v>2.769230769230769E-2</v>
      </c>
      <c r="M75" s="8">
        <f t="shared" si="108"/>
        <v>3.461538461538461E-2</v>
      </c>
      <c r="N75" s="8">
        <f t="shared" si="108"/>
        <v>4.1538461538461531E-2</v>
      </c>
      <c r="O75" s="8">
        <f t="shared" si="108"/>
        <v>4.8461538461538452E-2</v>
      </c>
      <c r="P75" s="8">
        <f t="shared" si="108"/>
        <v>5.5384615384615372E-2</v>
      </c>
      <c r="Q75" s="8">
        <f t="shared" si="108"/>
        <v>6.2307692307692293E-2</v>
      </c>
      <c r="R75" s="8">
        <f t="shared" si="108"/>
        <v>6.9230769230769221E-2</v>
      </c>
      <c r="S75" s="8">
        <f t="shared" si="108"/>
        <v>7.6153846153846141E-2</v>
      </c>
      <c r="T75" s="8">
        <f t="shared" si="108"/>
        <v>8.3076923076923062E-2</v>
      </c>
      <c r="U75" s="8">
        <f t="shared" si="108"/>
        <v>8.9999999999999983E-2</v>
      </c>
      <c r="V75" s="8">
        <f t="shared" si="108"/>
        <v>9.6923076923076903E-2</v>
      </c>
      <c r="W75" s="8">
        <f t="shared" si="108"/>
        <v>0.10384615384615382</v>
      </c>
      <c r="X75" s="8">
        <f t="shared" si="108"/>
        <v>0.11076923076923074</v>
      </c>
      <c r="Y75" s="8">
        <f t="shared" si="108"/>
        <v>0.11769230769230767</v>
      </c>
      <c r="Z75" s="8">
        <f t="shared" si="108"/>
        <v>0.12461538461538459</v>
      </c>
      <c r="AA75" s="8">
        <f t="shared" si="108"/>
        <v>0.13153846153846152</v>
      </c>
      <c r="AB75" s="8">
        <f t="shared" si="108"/>
        <v>0.13846153846153844</v>
      </c>
      <c r="AC75" s="8">
        <f t="shared" si="108"/>
        <v>0.14538461538461536</v>
      </c>
      <c r="AD75" s="8">
        <f t="shared" si="108"/>
        <v>0.15230769230769228</v>
      </c>
      <c r="AE75" s="8">
        <f t="shared" si="108"/>
        <v>0.1592307692307692</v>
      </c>
      <c r="AF75" s="8">
        <f t="shared" si="108"/>
        <v>0.16615384615384612</v>
      </c>
      <c r="AG75" s="8">
        <f t="shared" si="108"/>
        <v>0.17307692307692304</v>
      </c>
      <c r="AH75" s="8">
        <f t="shared" si="108"/>
        <v>0.17999999999999997</v>
      </c>
      <c r="AI75"/>
      <c r="AJ75"/>
      <c r="AK75"/>
      <c r="AL75"/>
    </row>
    <row r="76" spans="7:136" x14ac:dyDescent="0.3">
      <c r="G76" s="13"/>
      <c r="H76" s="3">
        <v>0</v>
      </c>
      <c r="I76" s="3">
        <v>100</v>
      </c>
      <c r="J76" s="3">
        <v>100</v>
      </c>
      <c r="K76" s="3">
        <v>100</v>
      </c>
      <c r="L76" s="3">
        <v>100</v>
      </c>
      <c r="M76" s="3">
        <v>100</v>
      </c>
      <c r="N76" s="3">
        <v>100</v>
      </c>
      <c r="O76" s="3">
        <v>100</v>
      </c>
      <c r="P76" s="3">
        <v>100</v>
      </c>
      <c r="Q76" s="3">
        <v>100</v>
      </c>
      <c r="R76" s="3">
        <v>100</v>
      </c>
      <c r="S76" s="3">
        <v>100</v>
      </c>
      <c r="T76" s="3">
        <v>100</v>
      </c>
      <c r="U76" s="3">
        <v>100</v>
      </c>
      <c r="V76" s="3">
        <v>100</v>
      </c>
      <c r="W76" s="3">
        <v>100</v>
      </c>
      <c r="X76" s="3">
        <v>100</v>
      </c>
      <c r="Y76" s="3">
        <v>100</v>
      </c>
      <c r="Z76" s="3">
        <v>100</v>
      </c>
      <c r="AA76" s="3">
        <v>100</v>
      </c>
      <c r="AB76" s="3">
        <v>100</v>
      </c>
      <c r="AC76" s="3">
        <v>100</v>
      </c>
      <c r="AD76" s="3">
        <v>100</v>
      </c>
      <c r="AE76" s="3">
        <v>100</v>
      </c>
      <c r="AF76" s="3">
        <v>100</v>
      </c>
      <c r="AG76" s="3">
        <v>100</v>
      </c>
      <c r="AH76" s="3">
        <v>0</v>
      </c>
      <c r="AI76"/>
      <c r="AJ76"/>
      <c r="AK76"/>
      <c r="AL76"/>
      <c r="AO76" s="19" t="s">
        <v>27</v>
      </c>
      <c r="AP76" s="3">
        <f>-$C$10*$C$9/$C$6*H43</f>
        <v>0</v>
      </c>
      <c r="AQ76" s="3">
        <f t="shared" ref="AQ76:BP76" si="109">-$C$10*$C$9/$C$6*I43</f>
        <v>-358800000</v>
      </c>
      <c r="AR76" s="3">
        <f t="shared" si="109"/>
        <v>-358800000</v>
      </c>
      <c r="AS76" s="3">
        <f t="shared" si="109"/>
        <v>-358800000</v>
      </c>
      <c r="AT76" s="3">
        <f t="shared" si="109"/>
        <v>-358800000</v>
      </c>
      <c r="AU76" s="3">
        <f t="shared" si="109"/>
        <v>-358800000</v>
      </c>
      <c r="AV76" s="3">
        <f t="shared" si="109"/>
        <v>-358800000</v>
      </c>
      <c r="AW76" s="3">
        <f t="shared" si="109"/>
        <v>-358800000</v>
      </c>
      <c r="AX76" s="3">
        <f t="shared" si="109"/>
        <v>-358800000</v>
      </c>
      <c r="AY76" s="3">
        <f t="shared" si="109"/>
        <v>-358800000</v>
      </c>
      <c r="AZ76" s="3">
        <f t="shared" si="109"/>
        <v>-358800000</v>
      </c>
      <c r="BA76" s="3">
        <f t="shared" si="109"/>
        <v>-358800000</v>
      </c>
      <c r="BB76" s="3">
        <f t="shared" si="109"/>
        <v>-358800000</v>
      </c>
      <c r="BC76" s="3">
        <f t="shared" si="109"/>
        <v>-358800000</v>
      </c>
      <c r="BD76" s="3">
        <f t="shared" si="109"/>
        <v>-358800000</v>
      </c>
      <c r="BE76" s="3">
        <f t="shared" si="109"/>
        <v>-358800000</v>
      </c>
      <c r="BF76" s="3">
        <f t="shared" si="109"/>
        <v>-358800000</v>
      </c>
      <c r="BG76" s="3">
        <f t="shared" si="109"/>
        <v>-358800000</v>
      </c>
      <c r="BH76" s="3">
        <f t="shared" si="109"/>
        <v>-358800000</v>
      </c>
      <c r="BI76" s="3">
        <f t="shared" si="109"/>
        <v>-358800000</v>
      </c>
      <c r="BJ76" s="3">
        <f t="shared" si="109"/>
        <v>-358800000</v>
      </c>
      <c r="BK76" s="3">
        <f t="shared" si="109"/>
        <v>-358800000</v>
      </c>
      <c r="BL76" s="3">
        <f t="shared" si="109"/>
        <v>-358800000</v>
      </c>
      <c r="BM76" s="3">
        <f t="shared" si="109"/>
        <v>-358800000</v>
      </c>
      <c r="BN76" s="3">
        <f t="shared" si="109"/>
        <v>-358800000</v>
      </c>
      <c r="BO76" s="3">
        <f t="shared" si="109"/>
        <v>-358800000</v>
      </c>
      <c r="BP76" s="3">
        <f t="shared" si="109"/>
        <v>0</v>
      </c>
      <c r="BW76" s="19" t="s">
        <v>28</v>
      </c>
      <c r="BX76" s="3">
        <v>1</v>
      </c>
      <c r="BY76" s="3">
        <v>0</v>
      </c>
      <c r="BZ76" s="3">
        <v>0</v>
      </c>
      <c r="CA76" s="3">
        <v>0</v>
      </c>
      <c r="CB76" s="3">
        <v>0</v>
      </c>
      <c r="CC76" s="3">
        <v>0</v>
      </c>
      <c r="CD76" s="3">
        <v>0</v>
      </c>
      <c r="CE76" s="3">
        <v>0</v>
      </c>
      <c r="CF76" s="3">
        <v>0</v>
      </c>
      <c r="CG76" s="3">
        <v>0</v>
      </c>
      <c r="CH76" s="3">
        <v>0</v>
      </c>
      <c r="CI76" s="3">
        <v>0</v>
      </c>
      <c r="CJ76" s="3">
        <v>0</v>
      </c>
      <c r="CK76" s="3">
        <v>0</v>
      </c>
      <c r="CL76" s="3">
        <v>0</v>
      </c>
      <c r="CM76" s="3">
        <v>0</v>
      </c>
      <c r="CN76" s="3">
        <v>0</v>
      </c>
      <c r="CO76" s="3">
        <v>0</v>
      </c>
      <c r="CP76" s="3">
        <v>0</v>
      </c>
      <c r="CQ76" s="3">
        <v>0</v>
      </c>
      <c r="CR76" s="3">
        <v>0</v>
      </c>
      <c r="CS76" s="3">
        <v>0</v>
      </c>
      <c r="CT76" s="3">
        <v>0</v>
      </c>
      <c r="CU76" s="3">
        <v>0</v>
      </c>
      <c r="CV76" s="3">
        <v>0</v>
      </c>
      <c r="CW76" s="3">
        <v>0</v>
      </c>
      <c r="CX76" s="3">
        <v>0</v>
      </c>
      <c r="DE76" s="19" t="s">
        <v>29</v>
      </c>
      <c r="DF76" s="3">
        <v>0</v>
      </c>
      <c r="DG76" s="3">
        <v>100</v>
      </c>
      <c r="DH76" s="3">
        <v>100</v>
      </c>
      <c r="DI76" s="3">
        <v>100</v>
      </c>
      <c r="DJ76" s="3">
        <v>100</v>
      </c>
      <c r="DK76" s="3">
        <v>100</v>
      </c>
      <c r="DL76" s="3">
        <v>100</v>
      </c>
      <c r="DM76" s="3">
        <v>100</v>
      </c>
      <c r="DN76" s="3">
        <v>100</v>
      </c>
      <c r="DO76" s="3">
        <v>100</v>
      </c>
      <c r="DP76" s="3">
        <v>100</v>
      </c>
      <c r="DQ76" s="3">
        <v>100</v>
      </c>
      <c r="DR76" s="3">
        <v>100</v>
      </c>
      <c r="DS76" s="3">
        <v>100</v>
      </c>
      <c r="DT76" s="3">
        <v>100</v>
      </c>
      <c r="DU76" s="3">
        <v>100</v>
      </c>
      <c r="DV76" s="3">
        <v>100</v>
      </c>
      <c r="DW76" s="3">
        <v>100</v>
      </c>
      <c r="DX76" s="3">
        <v>100</v>
      </c>
      <c r="DY76" s="3">
        <v>100</v>
      </c>
      <c r="DZ76" s="3">
        <v>100</v>
      </c>
      <c r="EA76" s="3">
        <v>100</v>
      </c>
      <c r="EB76" s="3">
        <v>100</v>
      </c>
      <c r="EC76" s="3">
        <v>100</v>
      </c>
      <c r="ED76" s="3">
        <v>100</v>
      </c>
      <c r="EE76" s="3">
        <v>100</v>
      </c>
      <c r="EF76" s="3">
        <v>0</v>
      </c>
    </row>
    <row r="77" spans="7:136" x14ac:dyDescent="0.3">
      <c r="G77" s="13"/>
      <c r="H77" s="3">
        <v>0</v>
      </c>
      <c r="I77" s="3">
        <f>I76*BY77+DG77</f>
        <v>56.48566566445578</v>
      </c>
      <c r="J77" s="3">
        <f t="shared" ref="J77:AG77" si="110">J76*BZ77+DH77</f>
        <v>71.587691874691075</v>
      </c>
      <c r="K77" s="3">
        <f t="shared" si="110"/>
        <v>79.483008436093428</v>
      </c>
      <c r="L77" s="3">
        <f t="shared" si="110"/>
        <v>84.000313685780171</v>
      </c>
      <c r="M77" s="3">
        <f t="shared" si="110"/>
        <v>86.789672821332502</v>
      </c>
      <c r="N77" s="3">
        <f t="shared" si="110"/>
        <v>88.614519568756251</v>
      </c>
      <c r="O77" s="3">
        <f t="shared" si="110"/>
        <v>89.854917386842018</v>
      </c>
      <c r="P77" s="3">
        <f t="shared" si="110"/>
        <v>90.713947605435877</v>
      </c>
      <c r="Q77" s="3">
        <f t="shared" si="110"/>
        <v>91.307217860570191</v>
      </c>
      <c r="R77" s="3">
        <f t="shared" si="110"/>
        <v>91.703962821127959</v>
      </c>
      <c r="S77" s="3">
        <f t="shared" si="110"/>
        <v>91.946941878628976</v>
      </c>
      <c r="T77" s="3">
        <f t="shared" si="110"/>
        <v>92.062457100010533</v>
      </c>
      <c r="U77" s="3">
        <f t="shared" si="110"/>
        <v>92.065420283919664</v>
      </c>
      <c r="V77" s="3">
        <f t="shared" si="110"/>
        <v>91.961675668482343</v>
      </c>
      <c r="W77" s="3">
        <f t="shared" si="110"/>
        <v>91.74852265451112</v>
      </c>
      <c r="X77" s="3">
        <f t="shared" si="110"/>
        <v>91.413684119291759</v>
      </c>
      <c r="Y77" s="3">
        <f t="shared" si="110"/>
        <v>90.932403202780193</v>
      </c>
      <c r="Z77" s="3">
        <f t="shared" si="110"/>
        <v>90.261606188326027</v>
      </c>
      <c r="AA77" s="3">
        <f t="shared" si="110"/>
        <v>89.328678867879759</v>
      </c>
      <c r="AB77" s="3">
        <f t="shared" si="110"/>
        <v>88.009367701702942</v>
      </c>
      <c r="AC77" s="3">
        <f t="shared" si="110"/>
        <v>86.082143294210837</v>
      </c>
      <c r="AD77" s="3">
        <f t="shared" si="110"/>
        <v>83.128476193650201</v>
      </c>
      <c r="AE77" s="3">
        <f t="shared" si="110"/>
        <v>78.301846196616154</v>
      </c>
      <c r="AF77" s="3">
        <f t="shared" si="110"/>
        <v>69.761954456542668</v>
      </c>
      <c r="AG77" s="3">
        <f t="shared" si="110"/>
        <v>53.216447315928249</v>
      </c>
      <c r="AH77" s="3">
        <v>0</v>
      </c>
      <c r="AI77"/>
      <c r="AJ77"/>
      <c r="AK77"/>
      <c r="AL77"/>
      <c r="AO77" s="19"/>
      <c r="AP77" s="3">
        <f t="shared" ref="AP77:AP102" si="111">-$C$10*$C$9/$C$6*H44</f>
        <v>0</v>
      </c>
      <c r="AQ77" s="3">
        <f t="shared" ref="AQ77:AQ102" si="112">-$C$10*$C$9/$C$6*I44</f>
        <v>-180706109.4438054</v>
      </c>
      <c r="AR77" s="3">
        <f t="shared" ref="AR77:AR102" si="113">-$C$10*$C$9/$C$6*J44</f>
        <v>-247816959.58605048</v>
      </c>
      <c r="AS77" s="3">
        <f t="shared" ref="AS77:AS102" si="114">-$C$10*$C$9/$C$6*K44</f>
        <v>-281149170.47554928</v>
      </c>
      <c r="AT77" s="3">
        <f t="shared" ref="AT77:AT102" si="115">-$C$10*$C$9/$C$6*L44</f>
        <v>-299417791.95546103</v>
      </c>
      <c r="AU77" s="3">
        <f t="shared" ref="AU77:AU102" si="116">-$C$10*$C$9/$C$6*M44</f>
        <v>-310335821.96783453</v>
      </c>
      <c r="AV77" s="3">
        <f t="shared" ref="AV77:AV102" si="117">-$C$10*$C$9/$C$6*N44</f>
        <v>-317315810.32217681</v>
      </c>
      <c r="AW77" s="3">
        <f t="shared" ref="AW77:AW102" si="118">-$C$10*$C$9/$C$6*O44</f>
        <v>-321987161.18093187</v>
      </c>
      <c r="AX77" s="3">
        <f t="shared" ref="AX77:AX102" si="119">-$C$10*$C$9/$C$6*P44</f>
        <v>-325189420.63964039</v>
      </c>
      <c r="AY77" s="3">
        <f t="shared" ref="AY77:AY102" si="120">-$C$10*$C$9/$C$6*Q44</f>
        <v>-327386515.56808966</v>
      </c>
      <c r="AZ77" s="3">
        <f t="shared" ref="AZ77:AZ102" si="121">-$C$10*$C$9/$C$6*R44</f>
        <v>-328849949.06778479</v>
      </c>
      <c r="BA77" s="3">
        <f t="shared" ref="BA77:BA102" si="122">-$C$10*$C$9/$C$6*S44</f>
        <v>-329744543.35039312</v>
      </c>
      <c r="BB77" s="3">
        <f t="shared" ref="BB77:BB102" si="123">-$C$10*$C$9/$C$6*T44</f>
        <v>-330170414.60100669</v>
      </c>
      <c r="BC77" s="3">
        <f t="shared" ref="BC77:BC102" si="124">-$C$10*$C$9/$C$6*U44</f>
        <v>-330183766.07591808</v>
      </c>
      <c r="BD77" s="3">
        <f t="shared" ref="BD77:BD102" si="125">-$C$10*$C$9/$C$6*V44</f>
        <v>-329806308.23192745</v>
      </c>
      <c r="BE77" s="3">
        <f t="shared" ref="BE77:BE102" si="126">-$C$10*$C$9/$C$6*W44</f>
        <v>-329027406.22952563</v>
      </c>
      <c r="BF77" s="3">
        <f t="shared" ref="BF77:BF102" si="127">-$C$10*$C$9/$C$6*X44</f>
        <v>-327800005.93600917</v>
      </c>
      <c r="BG77" s="3">
        <f t="shared" ref="BG77:BG102" si="128">-$C$10*$C$9/$C$6*Y44</f>
        <v>-326028974.23958963</v>
      </c>
      <c r="BH77" s="3">
        <f t="shared" ref="BH77:BH102" si="129">-$C$10*$C$9/$C$6*Z44</f>
        <v>-323547227.02562332</v>
      </c>
      <c r="BI77" s="3">
        <f t="shared" ref="BI77:BI102" si="130">-$C$10*$C$9/$C$6*AA44</f>
        <v>-320068709.28317994</v>
      </c>
      <c r="BJ77" s="3">
        <f t="shared" ref="BJ77:BJ102" si="131">-$C$10*$C$9/$C$6*AB44</f>
        <v>-315092999.54784489</v>
      </c>
      <c r="BK77" s="3">
        <f t="shared" ref="BK77:BK102" si="132">-$C$10*$C$9/$C$6*AC44</f>
        <v>-307701329.30412275</v>
      </c>
      <c r="BL77" s="3">
        <f t="shared" ref="BL77:BL102" si="133">-$C$10*$C$9/$C$6*AD44</f>
        <v>-296093586.29944599</v>
      </c>
      <c r="BM77" s="3">
        <f t="shared" ref="BM77:BM102" si="134">-$C$10*$C$9/$C$6*AE44</f>
        <v>-276473054.73560715</v>
      </c>
      <c r="BN77" s="3">
        <f t="shared" ref="BN77:BN102" si="135">-$C$10*$C$9/$C$6*AF44</f>
        <v>-240207937.17305097</v>
      </c>
      <c r="BO77" s="3">
        <f t="shared" ref="BO77:BO102" si="136">-$C$10*$C$9/$C$6*AG44</f>
        <v>-166247350.43992618</v>
      </c>
      <c r="BP77" s="3">
        <f t="shared" ref="BP77:BP102" si="137">-$C$10*$C$9/$C$6*AH44</f>
        <v>0</v>
      </c>
      <c r="BW77" s="19"/>
      <c r="BX77" s="3">
        <v>1</v>
      </c>
      <c r="BY77" s="3">
        <f t="shared" ref="BY77:BY102" si="138">$C$19/($C$20-$C$21*BY78)</f>
        <v>0.17990274775391865</v>
      </c>
      <c r="BZ77" s="3">
        <f t="shared" ref="BZ77:BZ102" si="139">$C$19/($C$20-$C$21*BZ78)</f>
        <v>0.17990274775391865</v>
      </c>
      <c r="CA77" s="3">
        <f t="shared" ref="CA77:CA102" si="140">$C$19/($C$20-$C$21*CA78)</f>
        <v>0.17990274775391865</v>
      </c>
      <c r="CB77" s="3">
        <f t="shared" ref="CB77:CB102" si="141">$C$19/($C$20-$C$21*CB78)</f>
        <v>0.17990274775391865</v>
      </c>
      <c r="CC77" s="3">
        <f t="shared" ref="CC77:CC102" si="142">$C$19/($C$20-$C$21*CC78)</f>
        <v>0.17990274775391865</v>
      </c>
      <c r="CD77" s="3">
        <f t="shared" ref="CD77:CD102" si="143">$C$19/($C$20-$C$21*CD78)</f>
        <v>0.17990274775391865</v>
      </c>
      <c r="CE77" s="3">
        <f t="shared" ref="CE77:CE102" si="144">$C$19/($C$20-$C$21*CE78)</f>
        <v>0.17990274775391865</v>
      </c>
      <c r="CF77" s="3">
        <f t="shared" ref="CF77:CF102" si="145">$C$19/($C$20-$C$21*CF78)</f>
        <v>0.17990274775391865</v>
      </c>
      <c r="CG77" s="3">
        <f t="shared" ref="CG77:CG102" si="146">$C$19/($C$20-$C$21*CG78)</f>
        <v>0.17990274775391865</v>
      </c>
      <c r="CH77" s="3">
        <f t="shared" ref="CH77:CH102" si="147">$C$19/($C$20-$C$21*CH78)</f>
        <v>0.17990274775391865</v>
      </c>
      <c r="CI77" s="3">
        <f t="shared" ref="CI77:CI102" si="148">$C$19/($C$20-$C$21*CI78)</f>
        <v>0.17990274775391865</v>
      </c>
      <c r="CJ77" s="3">
        <f t="shared" ref="CJ77:CJ102" si="149">$C$19/($C$20-$C$21*CJ78)</f>
        <v>0.17990274775391865</v>
      </c>
      <c r="CK77" s="3">
        <f t="shared" ref="CK77:CK102" si="150">$C$19/($C$20-$C$21*CK78)</f>
        <v>0.17990274775391865</v>
      </c>
      <c r="CL77" s="3">
        <f t="shared" ref="CL77:CL102" si="151">$C$19/($C$20-$C$21*CL78)</f>
        <v>0.17990274775391865</v>
      </c>
      <c r="CM77" s="3">
        <f t="shared" ref="CM77:CM102" si="152">$C$19/($C$20-$C$21*CM78)</f>
        <v>0.17990274775391865</v>
      </c>
      <c r="CN77" s="3">
        <f t="shared" ref="CN77:CN102" si="153">$C$19/($C$20-$C$21*CN78)</f>
        <v>0.17990274775391865</v>
      </c>
      <c r="CO77" s="3">
        <f t="shared" ref="CO77:CO102" si="154">$C$19/($C$20-$C$21*CO78)</f>
        <v>0.17990274775391865</v>
      </c>
      <c r="CP77" s="3">
        <f t="shared" ref="CP77:CP102" si="155">$C$19/($C$20-$C$21*CP78)</f>
        <v>0.17990274775391865</v>
      </c>
      <c r="CQ77" s="3">
        <f t="shared" ref="CQ77:CQ102" si="156">$C$19/($C$20-$C$21*CQ78)</f>
        <v>0.17990274775391865</v>
      </c>
      <c r="CR77" s="3">
        <f t="shared" ref="CR77:CR102" si="157">$C$19/($C$20-$C$21*CR78)</f>
        <v>0.17990274775391865</v>
      </c>
      <c r="CS77" s="3">
        <f t="shared" ref="CS77:CS102" si="158">$C$19/($C$20-$C$21*CS78)</f>
        <v>0.17990274775391865</v>
      </c>
      <c r="CT77" s="3">
        <f t="shared" ref="CT77:CT102" si="159">$C$19/($C$20-$C$21*CT78)</f>
        <v>0.17990274775391865</v>
      </c>
      <c r="CU77" s="3">
        <f t="shared" ref="CU77:CU102" si="160">$C$19/($C$20-$C$21*CU78)</f>
        <v>0.17990274775391865</v>
      </c>
      <c r="CV77" s="3">
        <f t="shared" ref="CV77:CV102" si="161">$C$19/($C$20-$C$21*CV78)</f>
        <v>0.17990274775391865</v>
      </c>
      <c r="CW77" s="3">
        <f t="shared" ref="CW77:CW102" si="162">$C$19/($C$20-$C$21*CW78)</f>
        <v>0.17990274775391865</v>
      </c>
      <c r="CX77" s="3">
        <f t="shared" ref="CX77:CX102" si="163">$C$19/($C$20-$C$21*CX78)</f>
        <v>0.17990274775391865</v>
      </c>
      <c r="DE77" s="19"/>
      <c r="DF77" s="3">
        <v>0</v>
      </c>
      <c r="DG77" s="3">
        <f t="shared" ref="DG77:DG102" si="164">(DG78*$C$21-AQ77)/($C$20-$C$21*BY78)</f>
        <v>38.49539088906392</v>
      </c>
      <c r="DH77" s="3">
        <f t="shared" ref="DH77:DH102" si="165">(DH78*$C$21-AR77)/($C$20-$C$21*BZ78)</f>
        <v>53.597417099299214</v>
      </c>
      <c r="DI77" s="3">
        <f t="shared" ref="DI77:DI102" si="166">(DI78*$C$21-AS77)/($C$20-$C$21*CA78)</f>
        <v>61.492733660701568</v>
      </c>
      <c r="DJ77" s="3">
        <f t="shared" ref="DJ77:DJ102" si="167">(DJ78*$C$21-AT77)/($C$20-$C$21*CB78)</f>
        <v>66.010038910388303</v>
      </c>
      <c r="DK77" s="3">
        <f t="shared" ref="DK77:DK102" si="168">(DK78*$C$21-AU77)/($C$20-$C$21*CC78)</f>
        <v>68.799398045940634</v>
      </c>
      <c r="DL77" s="3">
        <f t="shared" ref="DL77:DL102" si="169">(DL78*$C$21-AV77)/($C$20-$C$21*CD78)</f>
        <v>70.624244793364383</v>
      </c>
      <c r="DM77" s="3">
        <f t="shared" ref="DM77:DM102" si="170">(DM78*$C$21-AW77)/($C$20-$C$21*CE78)</f>
        <v>71.864642611450151</v>
      </c>
      <c r="DN77" s="3">
        <f t="shared" ref="DN77:DN102" si="171">(DN78*$C$21-AX77)/($C$20-$C$21*CF78)</f>
        <v>72.723672830044009</v>
      </c>
      <c r="DO77" s="3">
        <f t="shared" ref="DO77:DO102" si="172">(DO78*$C$21-AY77)/($C$20-$C$21*CG78)</f>
        <v>73.316943085178323</v>
      </c>
      <c r="DP77" s="3">
        <f t="shared" ref="DP77:DP102" si="173">(DP78*$C$21-AZ77)/($C$20-$C$21*CH78)</f>
        <v>73.713688045736092</v>
      </c>
      <c r="DQ77" s="3">
        <f t="shared" ref="DQ77:DQ102" si="174">(DQ78*$C$21-BA77)/($C$20-$C$21*CI78)</f>
        <v>73.956667103237109</v>
      </c>
      <c r="DR77" s="3">
        <f t="shared" ref="DR77:DR102" si="175">(DR78*$C$21-BB77)/($C$20-$C$21*CJ78)</f>
        <v>74.072182324618666</v>
      </c>
      <c r="DS77" s="3">
        <f t="shared" ref="DS77:DS102" si="176">(DS78*$C$21-BC77)/($C$20-$C$21*CK78)</f>
        <v>74.075145508527797</v>
      </c>
      <c r="DT77" s="3">
        <f t="shared" ref="DT77:DT102" si="177">(DT78*$C$21-BD77)/($C$20-$C$21*CL78)</f>
        <v>73.971400893090475</v>
      </c>
      <c r="DU77" s="3">
        <f t="shared" ref="DU77:DU102" si="178">(DU78*$C$21-BE77)/($C$20-$C$21*CM78)</f>
        <v>73.758247879119253</v>
      </c>
      <c r="DV77" s="3">
        <f t="shared" ref="DV77:DV102" si="179">(DV78*$C$21-BF77)/($C$20-$C$21*CN78)</f>
        <v>73.423409343899891</v>
      </c>
      <c r="DW77" s="3">
        <f t="shared" ref="DW77:DW102" si="180">(DW78*$C$21-BG77)/($C$20-$C$21*CO78)</f>
        <v>72.942128427388326</v>
      </c>
      <c r="DX77" s="3">
        <f t="shared" ref="DX77:DX102" si="181">(DX78*$C$21-BH77)/($C$20-$C$21*CP78)</f>
        <v>72.27133141293416</v>
      </c>
      <c r="DY77" s="3">
        <f t="shared" ref="DY77:DY102" si="182">(DY78*$C$21-BI77)/($C$20-$C$21*CQ78)</f>
        <v>71.338404092487892</v>
      </c>
      <c r="DZ77" s="3">
        <f t="shared" ref="DZ77:DZ102" si="183">(DZ78*$C$21-BJ77)/($C$20-$C$21*CR78)</f>
        <v>70.019092926311075</v>
      </c>
      <c r="EA77" s="3">
        <f t="shared" ref="EA77:EA102" si="184">(EA78*$C$21-BK77)/($C$20-$C$21*CS78)</f>
        <v>68.09186851881897</v>
      </c>
      <c r="EB77" s="3">
        <f t="shared" ref="EB77:EB102" si="185">(EB78*$C$21-BL77)/($C$20-$C$21*CT78)</f>
        <v>65.138201418258333</v>
      </c>
      <c r="EC77" s="3">
        <f t="shared" ref="EC77:EC102" si="186">(EC78*$C$21-BM77)/($C$20-$C$21*CU78)</f>
        <v>60.311571421224286</v>
      </c>
      <c r="ED77" s="3">
        <f t="shared" ref="ED77:ED102" si="187">(ED78*$C$21-BN77)/($C$20-$C$21*CV78)</f>
        <v>51.7716796811508</v>
      </c>
      <c r="EE77" s="3">
        <f t="shared" ref="EE77:EE102" si="188">(EE78*$C$21-BO77)/($C$20-$C$21*CW78)</f>
        <v>35.226172540536389</v>
      </c>
      <c r="EF77" s="3">
        <v>0</v>
      </c>
    </row>
    <row r="78" spans="7:136" x14ac:dyDescent="0.3">
      <c r="G78" s="13"/>
      <c r="H78" s="3">
        <v>0</v>
      </c>
      <c r="I78" s="3">
        <f t="shared" ref="I78:I101" si="189">I77*BY78+DG78</f>
        <v>35.85686227541558</v>
      </c>
      <c r="J78" s="3">
        <f t="shared" ref="J78:J101" si="190">J77*BZ78+DH78</f>
        <v>52.594138414774889</v>
      </c>
      <c r="K78" s="3">
        <f t="shared" ref="K78:K101" si="191">K77*CA78+DI78</f>
        <v>63.171123216996158</v>
      </c>
      <c r="L78" s="3">
        <f t="shared" ref="L78:L101" si="192">L77*CB78+DJ78</f>
        <v>70.058795849545632</v>
      </c>
      <c r="M78" s="3">
        <f t="shared" ref="M78:M101" si="193">M77*CC78+DK78</f>
        <v>74.689552142840284</v>
      </c>
      <c r="N78" s="3">
        <f t="shared" ref="N78:N101" si="194">N77*CD78+DL78</f>
        <v>77.88867326578837</v>
      </c>
      <c r="O78" s="3">
        <f t="shared" ref="O78:O101" si="195">O77*CE78+DM78</f>
        <v>80.139406096653488</v>
      </c>
      <c r="P78" s="3">
        <f t="shared" ref="P78:P101" si="196">P77*CF78+DN78</f>
        <v>81.732372865383539</v>
      </c>
      <c r="Q78" s="3">
        <f t="shared" ref="Q78:Q101" si="197">Q77*CG78+DO78</f>
        <v>82.847602062361545</v>
      </c>
      <c r="R78" s="3">
        <f t="shared" ref="R78:R101" si="198">R77*CH78+DP78</f>
        <v>83.599505681980773</v>
      </c>
      <c r="S78" s="3">
        <f t="shared" ref="S78:S101" si="199">S77*CI78+DQ78</f>
        <v>84.061722873804655</v>
      </c>
      <c r="T78" s="3">
        <f t="shared" ref="T78:T101" si="200">T77*CJ78+DR78</f>
        <v>84.280872514663741</v>
      </c>
      <c r="U78" s="3">
        <f t="shared" ref="U78:U101" si="201">U77*CK78+DS78</f>
        <v>84.283965267165854</v>
      </c>
      <c r="V78" s="3">
        <f t="shared" ref="V78:V101" si="202">V77*CL78+DT78</f>
        <v>84.081917189724734</v>
      </c>
      <c r="W78" s="3">
        <f t="shared" ref="W78:W101" si="203">W77*CM78+DU78</f>
        <v>83.670311805596512</v>
      </c>
      <c r="X78" s="3">
        <f t="shared" ref="X78:X101" si="204">X77*CN78+DV78</f>
        <v>83.027724649759023</v>
      </c>
      <c r="Y78" s="3">
        <f t="shared" ref="Y78:Y101" si="205">Y77*CO78+DW78</f>
        <v>82.111211918949195</v>
      </c>
      <c r="Z78" s="3">
        <f t="shared" ref="Z78:Z101" si="206">Z77*CP78+DX78</f>
        <v>80.847687476025968</v>
      </c>
      <c r="AA78" s="3">
        <f t="shared" ref="AA78:AA101" si="207">AA77*CQ78+DY78</f>
        <v>79.118508109783022</v>
      </c>
      <c r="AB78" s="3">
        <f t="shared" ref="AB78:AB101" si="208">AB77*CR78+DZ78</f>
        <v>76.732056126779767</v>
      </c>
      <c r="AC78" s="3">
        <f t="shared" ref="AC78:AC101" si="209">AC77*CS78+EA78</f>
        <v>73.374390366090353</v>
      </c>
      <c r="AD78" s="3">
        <f t="shared" ref="AD78:AD101" si="210">AD77*CT78+EB78</f>
        <v>68.51939500311012</v>
      </c>
      <c r="AE78" s="3">
        <f t="shared" ref="AE78:AE101" si="211">AE77*CU78+EC78</f>
        <v>61.265276170515364</v>
      </c>
      <c r="AF78" s="3">
        <f t="shared" ref="AF78:AF101" si="212">AF77*CV78+ED78</f>
        <v>50.045318596375211</v>
      </c>
      <c r="AG78" s="3">
        <f t="shared" ref="AG78:AG101" si="213">AG77*CW78+EE78</f>
        <v>32.161660581169301</v>
      </c>
      <c r="AH78" s="3">
        <v>0</v>
      </c>
      <c r="AI78"/>
      <c r="AJ78"/>
      <c r="AK78"/>
      <c r="AL78"/>
      <c r="AO78" s="19"/>
      <c r="AP78" s="3">
        <f t="shared" si="111"/>
        <v>0</v>
      </c>
      <c r="AQ78" s="3">
        <f t="shared" si="112"/>
        <v>-119245108.06060398</v>
      </c>
      <c r="AR78" s="3">
        <f t="shared" si="113"/>
        <v>-182549566.02629814</v>
      </c>
      <c r="AS78" s="3">
        <f t="shared" si="114"/>
        <v>-222861619.37104163</v>
      </c>
      <c r="AT78" s="3">
        <f t="shared" si="115"/>
        <v>-249026996.06764191</v>
      </c>
      <c r="AU78" s="3">
        <f t="shared" si="116"/>
        <v>-266494201.80863002</v>
      </c>
      <c r="AV78" s="3">
        <f t="shared" si="117"/>
        <v>-278470315.86330378</v>
      </c>
      <c r="AW78" s="3">
        <f t="shared" si="118"/>
        <v>-286840572.6963203</v>
      </c>
      <c r="AX78" s="3">
        <f t="shared" si="119"/>
        <v>-292733852.49550778</v>
      </c>
      <c r="AY78" s="3">
        <f t="shared" si="120"/>
        <v>-296844037.22451037</v>
      </c>
      <c r="AZ78" s="3">
        <f t="shared" si="121"/>
        <v>-299608318.78403276</v>
      </c>
      <c r="BA78" s="3">
        <f t="shared" si="122"/>
        <v>-301305810.97171617</v>
      </c>
      <c r="BB78" s="3">
        <f t="shared" si="123"/>
        <v>-302111954.45551813</v>
      </c>
      <c r="BC78" s="3">
        <f t="shared" si="124"/>
        <v>-302127716.87609857</v>
      </c>
      <c r="BD78" s="3">
        <f t="shared" si="125"/>
        <v>-301393412.68749255</v>
      </c>
      <c r="BE78" s="3">
        <f t="shared" si="126"/>
        <v>-299891755.79243851</v>
      </c>
      <c r="BF78" s="3">
        <f t="shared" si="127"/>
        <v>-297541403.25431222</v>
      </c>
      <c r="BG78" s="3">
        <f t="shared" si="128"/>
        <v>-294179382.23946542</v>
      </c>
      <c r="BH78" s="3">
        <f t="shared" si="129"/>
        <v>-289527257.25369132</v>
      </c>
      <c r="BI78" s="3">
        <f t="shared" si="130"/>
        <v>-283130245.00141692</v>
      </c>
      <c r="BJ78" s="3">
        <f t="shared" si="131"/>
        <v>-274248436.96731257</v>
      </c>
      <c r="BK78" s="3">
        <f t="shared" si="132"/>
        <v>-261661232.12421152</v>
      </c>
      <c r="BL78" s="3">
        <f t="shared" si="133"/>
        <v>-243315791.58563021</v>
      </c>
      <c r="BM78" s="3">
        <f t="shared" si="134"/>
        <v>-215710480.12396806</v>
      </c>
      <c r="BN78" s="3">
        <f t="shared" si="135"/>
        <v>-172901451.51167673</v>
      </c>
      <c r="BO78" s="3">
        <f t="shared" si="136"/>
        <v>-105298292.41091929</v>
      </c>
      <c r="BP78" s="3">
        <f t="shared" si="137"/>
        <v>0</v>
      </c>
      <c r="BW78" s="19"/>
      <c r="BX78" s="3">
        <v>1</v>
      </c>
      <c r="BY78" s="3">
        <f t="shared" si="138"/>
        <v>0.17990274775391865</v>
      </c>
      <c r="BZ78" s="3">
        <f t="shared" si="139"/>
        <v>0.17990274775391865</v>
      </c>
      <c r="CA78" s="3">
        <f t="shared" si="140"/>
        <v>0.17990274775391865</v>
      </c>
      <c r="CB78" s="3">
        <f t="shared" si="141"/>
        <v>0.17990274775391865</v>
      </c>
      <c r="CC78" s="3">
        <f t="shared" si="142"/>
        <v>0.17990274775391865</v>
      </c>
      <c r="CD78" s="3">
        <f t="shared" si="143"/>
        <v>0.17990274775391865</v>
      </c>
      <c r="CE78" s="3">
        <f t="shared" si="144"/>
        <v>0.17990274775391865</v>
      </c>
      <c r="CF78" s="3">
        <f t="shared" si="145"/>
        <v>0.17990274775391865</v>
      </c>
      <c r="CG78" s="3">
        <f t="shared" si="146"/>
        <v>0.17990274775391865</v>
      </c>
      <c r="CH78" s="3">
        <f t="shared" si="147"/>
        <v>0.17990274775391865</v>
      </c>
      <c r="CI78" s="3">
        <f t="shared" si="148"/>
        <v>0.17990274775391865</v>
      </c>
      <c r="CJ78" s="3">
        <f t="shared" si="149"/>
        <v>0.17990274775391865</v>
      </c>
      <c r="CK78" s="3">
        <f t="shared" si="150"/>
        <v>0.17990274775391865</v>
      </c>
      <c r="CL78" s="3">
        <f t="shared" si="151"/>
        <v>0.17990274775391865</v>
      </c>
      <c r="CM78" s="3">
        <f t="shared" si="152"/>
        <v>0.17990274775391865</v>
      </c>
      <c r="CN78" s="3">
        <f t="shared" si="153"/>
        <v>0.17990274775391865</v>
      </c>
      <c r="CO78" s="3">
        <f t="shared" si="154"/>
        <v>0.17990274775391865</v>
      </c>
      <c r="CP78" s="3">
        <f t="shared" si="155"/>
        <v>0.17990274775391865</v>
      </c>
      <c r="CQ78" s="3">
        <f t="shared" si="156"/>
        <v>0.17990274775391865</v>
      </c>
      <c r="CR78" s="3">
        <f t="shared" si="157"/>
        <v>0.17990274775391865</v>
      </c>
      <c r="CS78" s="3">
        <f t="shared" si="158"/>
        <v>0.17990274775391865</v>
      </c>
      <c r="CT78" s="3">
        <f t="shared" si="159"/>
        <v>0.17990274775391865</v>
      </c>
      <c r="CU78" s="3">
        <f t="shared" si="160"/>
        <v>0.17990274775391865</v>
      </c>
      <c r="CV78" s="3">
        <f t="shared" si="161"/>
        <v>0.17990274775391865</v>
      </c>
      <c r="CW78" s="3">
        <f t="shared" si="162"/>
        <v>0.17990274775391865</v>
      </c>
      <c r="CX78" s="3">
        <f t="shared" si="163"/>
        <v>0.17990274775391865</v>
      </c>
      <c r="DE78" s="19"/>
      <c r="DF78" s="3">
        <v>0</v>
      </c>
      <c r="DG78" s="3">
        <f t="shared" si="164"/>
        <v>25.69493581367081</v>
      </c>
      <c r="DH78" s="3">
        <f t="shared" si="165"/>
        <v>39.715315941157087</v>
      </c>
      <c r="DI78" s="3">
        <f t="shared" si="166"/>
        <v>48.871911599595052</v>
      </c>
      <c r="DJ78" s="3">
        <f t="shared" si="167"/>
        <v>54.946908605282687</v>
      </c>
      <c r="DK78" s="3">
        <f t="shared" si="168"/>
        <v>59.07585152561898</v>
      </c>
      <c r="DL78" s="3">
        <f t="shared" si="169"/>
        <v>61.946677704475725</v>
      </c>
      <c r="DM78" s="3">
        <f t="shared" si="170"/>
        <v>63.974259559559258</v>
      </c>
      <c r="DN78" s="3">
        <f t="shared" si="171"/>
        <v>65.412684431560621</v>
      </c>
      <c r="DO78" s="3">
        <f t="shared" si="172"/>
        <v>66.421182679479287</v>
      </c>
      <c r="DP78" s="3">
        <f t="shared" si="173"/>
        <v>67.101710790536657</v>
      </c>
      <c r="DQ78" s="3">
        <f t="shared" si="174"/>
        <v>67.520215382269441</v>
      </c>
      <c r="DR78" s="3">
        <f t="shared" si="175"/>
        <v>67.718583517394592</v>
      </c>
      <c r="DS78" s="3">
        <f t="shared" si="176"/>
        <v>67.72114318496935</v>
      </c>
      <c r="DT78" s="3">
        <f t="shared" si="177"/>
        <v>67.537759048910075</v>
      </c>
      <c r="DU78" s="3">
        <f t="shared" si="178"/>
        <v>67.164500477687312</v>
      </c>
      <c r="DV78" s="3">
        <f t="shared" si="179"/>
        <v>66.58215169438968</v>
      </c>
      <c r="DW78" s="3">
        <f t="shared" si="180"/>
        <v>65.752222722901806</v>
      </c>
      <c r="DX78" s="3">
        <f t="shared" si="181"/>
        <v>64.60937650606401</v>
      </c>
      <c r="DY78" s="3">
        <f t="shared" si="182"/>
        <v>63.048033328224044</v>
      </c>
      <c r="DZ78" s="3">
        <f t="shared" si="183"/>
        <v>60.898929049158426</v>
      </c>
      <c r="EA78" s="3">
        <f t="shared" si="184"/>
        <v>57.887976254915266</v>
      </c>
      <c r="EB78" s="3">
        <f t="shared" si="185"/>
        <v>53.564353719276241</v>
      </c>
      <c r="EC78" s="3">
        <f t="shared" si="186"/>
        <v>47.178558885539395</v>
      </c>
      <c r="ED78" s="3">
        <f t="shared" si="187"/>
        <v>37.494951300959457</v>
      </c>
      <c r="EE78" s="3">
        <f t="shared" si="188"/>
        <v>22.587875483332155</v>
      </c>
      <c r="EF78" s="3">
        <v>0</v>
      </c>
    </row>
    <row r="79" spans="7:136" x14ac:dyDescent="0.3">
      <c r="G79" s="13"/>
      <c r="H79" s="3">
        <v>0</v>
      </c>
      <c r="I79" s="3">
        <f t="shared" si="189"/>
        <v>25.031948987617458</v>
      </c>
      <c r="J79" s="3">
        <f t="shared" si="190"/>
        <v>40.017029656158527</v>
      </c>
      <c r="K79" s="3">
        <f t="shared" si="191"/>
        <v>50.814808222426663</v>
      </c>
      <c r="L79" s="3">
        <f t="shared" si="192"/>
        <v>58.559534749647021</v>
      </c>
      <c r="M79" s="3">
        <f t="shared" si="193"/>
        <v>64.143905527511933</v>
      </c>
      <c r="N79" s="3">
        <f t="shared" si="194"/>
        <v>68.19876404748652</v>
      </c>
      <c r="O79" s="3">
        <f t="shared" si="195"/>
        <v>71.152849355683742</v>
      </c>
      <c r="P79" s="3">
        <f t="shared" si="196"/>
        <v>73.294585223151671</v>
      </c>
      <c r="Q79" s="3">
        <f t="shared" si="197"/>
        <v>74.818470918059148</v>
      </c>
      <c r="R79" s="3">
        <f t="shared" si="198"/>
        <v>75.856295209106449</v>
      </c>
      <c r="S79" s="3">
        <f t="shared" si="199"/>
        <v>76.497055794103645</v>
      </c>
      <c r="T79" s="3">
        <f t="shared" si="200"/>
        <v>76.799173526110422</v>
      </c>
      <c r="U79" s="3">
        <f t="shared" si="201"/>
        <v>76.797534571249443</v>
      </c>
      <c r="V79" s="3">
        <f t="shared" si="202"/>
        <v>76.506931046038218</v>
      </c>
      <c r="W79" s="3">
        <f t="shared" si="203"/>
        <v>75.922730751502982</v>
      </c>
      <c r="X79" s="3">
        <f t="shared" si="204"/>
        <v>75.019021366370794</v>
      </c>
      <c r="Y79" s="3">
        <f t="shared" si="205"/>
        <v>73.743935430380205</v>
      </c>
      <c r="Z79" s="3">
        <f t="shared" si="206"/>
        <v>72.011256263513388</v>
      </c>
      <c r="AA79" s="3">
        <f t="shared" si="207"/>
        <v>69.68662304521925</v>
      </c>
      <c r="AB79" s="3">
        <f t="shared" si="208"/>
        <v>66.56563487423162</v>
      </c>
      <c r="AC79" s="3">
        <f t="shared" si="209"/>
        <v>62.340068377704604</v>
      </c>
      <c r="AD79" s="3">
        <f t="shared" si="210"/>
        <v>56.548281557975784</v>
      </c>
      <c r="AE79" s="3">
        <f t="shared" si="211"/>
        <v>48.510360284408485</v>
      </c>
      <c r="AF79" s="3">
        <f t="shared" si="212"/>
        <v>37.269167436253063</v>
      </c>
      <c r="AG79" s="3">
        <f t="shared" si="213"/>
        <v>21.628065074859116</v>
      </c>
      <c r="AH79" s="3">
        <v>0</v>
      </c>
      <c r="AI79"/>
      <c r="AJ79"/>
      <c r="AK79"/>
      <c r="AL79"/>
      <c r="AO79" s="19"/>
      <c r="AP79" s="3">
        <f t="shared" si="111"/>
        <v>0</v>
      </c>
      <c r="AQ79" s="3">
        <f t="shared" si="112"/>
        <v>-85443241.933927894</v>
      </c>
      <c r="AR79" s="3">
        <f t="shared" si="113"/>
        <v>-139675632.03141373</v>
      </c>
      <c r="AS79" s="3">
        <f t="shared" si="114"/>
        <v>-179347661.07818809</v>
      </c>
      <c r="AT79" s="3">
        <f t="shared" si="115"/>
        <v>-207956712.45407033</v>
      </c>
      <c r="AU79" s="3">
        <f t="shared" si="116"/>
        <v>-228598049.19001156</v>
      </c>
      <c r="AV79" s="3">
        <f t="shared" si="117"/>
        <v>-243562609.5968326</v>
      </c>
      <c r="AW79" s="3">
        <f t="shared" si="118"/>
        <v>-254439776.88000429</v>
      </c>
      <c r="AX79" s="3">
        <f t="shared" si="119"/>
        <v>-262307859.55502975</v>
      </c>
      <c r="AY79" s="3">
        <f t="shared" si="120"/>
        <v>-267895590.57090011</v>
      </c>
      <c r="AZ79" s="3">
        <f t="shared" si="121"/>
        <v>-271696194.07585388</v>
      </c>
      <c r="BA79" s="3">
        <f t="shared" si="122"/>
        <v>-274041851.16061991</v>
      </c>
      <c r="BB79" s="3">
        <f t="shared" si="123"/>
        <v>-275149871.82588249</v>
      </c>
      <c r="BC79" s="3">
        <f t="shared" si="124"/>
        <v>-275149471.18280935</v>
      </c>
      <c r="BD79" s="3">
        <f t="shared" si="125"/>
        <v>-274094914.82050443</v>
      </c>
      <c r="BE79" s="3">
        <f t="shared" si="126"/>
        <v>-271968141.44078195</v>
      </c>
      <c r="BF79" s="3">
        <f t="shared" si="127"/>
        <v>-268671784.85156292</v>
      </c>
      <c r="BG79" s="3">
        <f t="shared" si="128"/>
        <v>-264011482.56614265</v>
      </c>
      <c r="BH79" s="3">
        <f t="shared" si="129"/>
        <v>-257664100.03444088</v>
      </c>
      <c r="BI79" s="3">
        <f t="shared" si="130"/>
        <v>-249125708.82828549</v>
      </c>
      <c r="BJ79" s="3">
        <f t="shared" si="131"/>
        <v>-237629890.96930626</v>
      </c>
      <c r="BK79" s="3">
        <f t="shared" si="132"/>
        <v>-222024651.26550731</v>
      </c>
      <c r="BL79" s="3">
        <f t="shared" si="133"/>
        <v>-200600900.46476606</v>
      </c>
      <c r="BM79" s="3">
        <f t="shared" si="134"/>
        <v>-170896527.07513791</v>
      </c>
      <c r="BN79" s="3">
        <f t="shared" si="135"/>
        <v>-129613459.99198429</v>
      </c>
      <c r="BO79" s="3">
        <f t="shared" si="136"/>
        <v>-73128351.698521256</v>
      </c>
      <c r="BP79" s="3">
        <f t="shared" si="137"/>
        <v>0</v>
      </c>
      <c r="BW79" s="19"/>
      <c r="BX79" s="3">
        <v>1</v>
      </c>
      <c r="BY79" s="3">
        <f t="shared" si="138"/>
        <v>0.17990274775391865</v>
      </c>
      <c r="BZ79" s="3">
        <f t="shared" si="139"/>
        <v>0.17990274775391865</v>
      </c>
      <c r="CA79" s="3">
        <f t="shared" si="140"/>
        <v>0.17990274775391865</v>
      </c>
      <c r="CB79" s="3">
        <f t="shared" si="141"/>
        <v>0.17990274775391865</v>
      </c>
      <c r="CC79" s="3">
        <f t="shared" si="142"/>
        <v>0.17990274775391865</v>
      </c>
      <c r="CD79" s="3">
        <f t="shared" si="143"/>
        <v>0.17990274775391865</v>
      </c>
      <c r="CE79" s="3">
        <f t="shared" si="144"/>
        <v>0.17990274775391865</v>
      </c>
      <c r="CF79" s="3">
        <f t="shared" si="145"/>
        <v>0.17990274775391865</v>
      </c>
      <c r="CG79" s="3">
        <f t="shared" si="146"/>
        <v>0.17990274775391865</v>
      </c>
      <c r="CH79" s="3">
        <f t="shared" si="147"/>
        <v>0.17990274775391865</v>
      </c>
      <c r="CI79" s="3">
        <f t="shared" si="148"/>
        <v>0.17990274775391865</v>
      </c>
      <c r="CJ79" s="3">
        <f t="shared" si="149"/>
        <v>0.17990274775391865</v>
      </c>
      <c r="CK79" s="3">
        <f t="shared" si="150"/>
        <v>0.17990274775391865</v>
      </c>
      <c r="CL79" s="3">
        <f t="shared" si="151"/>
        <v>0.17990274775391865</v>
      </c>
      <c r="CM79" s="3">
        <f t="shared" si="152"/>
        <v>0.17990274775391865</v>
      </c>
      <c r="CN79" s="3">
        <f t="shared" si="153"/>
        <v>0.17990274775391865</v>
      </c>
      <c r="CO79" s="3">
        <f t="shared" si="154"/>
        <v>0.17990274775391865</v>
      </c>
      <c r="CP79" s="3">
        <f t="shared" si="155"/>
        <v>0.17990274775391865</v>
      </c>
      <c r="CQ79" s="3">
        <f t="shared" si="156"/>
        <v>0.17990274775391865</v>
      </c>
      <c r="CR79" s="3">
        <f t="shared" si="157"/>
        <v>0.17990274775391865</v>
      </c>
      <c r="CS79" s="3">
        <f t="shared" si="158"/>
        <v>0.17990274775391865</v>
      </c>
      <c r="CT79" s="3">
        <f t="shared" si="159"/>
        <v>0.17990274775391865</v>
      </c>
      <c r="CU79" s="3">
        <f t="shared" si="160"/>
        <v>0.17990274775391865</v>
      </c>
      <c r="CV79" s="3">
        <f t="shared" si="161"/>
        <v>0.17990274775391865</v>
      </c>
      <c r="CW79" s="3">
        <f t="shared" si="162"/>
        <v>0.17990274775391865</v>
      </c>
      <c r="CX79" s="3">
        <f t="shared" si="163"/>
        <v>0.17990274775391865</v>
      </c>
      <c r="DE79" s="19"/>
      <c r="DF79" s="3">
        <v>0</v>
      </c>
      <c r="DG79" s="3">
        <f t="shared" si="164"/>
        <v>18.581200938436368</v>
      </c>
      <c r="DH79" s="3">
        <f t="shared" si="165"/>
        <v>30.555199639590597</v>
      </c>
      <c r="DI79" s="3">
        <f t="shared" si="166"/>
        <v>39.450149576987691</v>
      </c>
      <c r="DJ79" s="3">
        <f t="shared" si="167"/>
        <v>45.955764871982929</v>
      </c>
      <c r="DK79" s="3">
        <f t="shared" si="168"/>
        <v>50.707049868505386</v>
      </c>
      <c r="DL79" s="3">
        <f t="shared" si="169"/>
        <v>54.186377708064008</v>
      </c>
      <c r="DM79" s="3">
        <f t="shared" si="170"/>
        <v>56.735549995528643</v>
      </c>
      <c r="DN79" s="3">
        <f t="shared" si="171"/>
        <v>58.590706764221352</v>
      </c>
      <c r="DO79" s="3">
        <f t="shared" si="172"/>
        <v>59.913959662217081</v>
      </c>
      <c r="DP79" s="3">
        <f t="shared" si="173"/>
        <v>60.816514426048769</v>
      </c>
      <c r="DQ79" s="3">
        <f t="shared" si="174"/>
        <v>61.374120868177755</v>
      </c>
      <c r="DR79" s="3">
        <f t="shared" si="175"/>
        <v>61.636812977624693</v>
      </c>
      <c r="DS79" s="3">
        <f t="shared" si="176"/>
        <v>61.634617628090467</v>
      </c>
      <c r="DT79" s="3">
        <f t="shared" si="177"/>
        <v>61.380363107189297</v>
      </c>
      <c r="DU79" s="3">
        <f t="shared" si="178"/>
        <v>60.870211752249027</v>
      </c>
      <c r="DV79" s="3">
        <f t="shared" si="179"/>
        <v>60.082105562123388</v>
      </c>
      <c r="DW79" s="3">
        <f t="shared" si="180"/>
        <v>58.971902784756935</v>
      </c>
      <c r="DX79" s="3">
        <f t="shared" si="181"/>
        <v>57.466535137026248</v>
      </c>
      <c r="DY79" s="3">
        <f t="shared" si="182"/>
        <v>55.452986038078592</v>
      </c>
      <c r="DZ79" s="3">
        <f t="shared" si="183"/>
        <v>52.761327136216039</v>
      </c>
      <c r="EA79" s="3">
        <f t="shared" si="184"/>
        <v>49.139813936076294</v>
      </c>
      <c r="EB79" s="3">
        <f t="shared" si="185"/>
        <v>44.221454122480147</v>
      </c>
      <c r="EC79" s="3">
        <f t="shared" si="186"/>
        <v>37.488568759430095</v>
      </c>
      <c r="ED79" s="3">
        <f t="shared" si="187"/>
        <v>28.265877108544878</v>
      </c>
      <c r="EE79" s="3">
        <f t="shared" si="188"/>
        <v>15.842093963977868</v>
      </c>
      <c r="EF79" s="3">
        <v>0</v>
      </c>
    </row>
    <row r="80" spans="7:136" x14ac:dyDescent="0.3">
      <c r="G80" s="13"/>
      <c r="H80" s="3">
        <v>0</v>
      </c>
      <c r="I80" s="3">
        <f t="shared" si="189"/>
        <v>18.761739503847224</v>
      </c>
      <c r="J80" s="3">
        <f t="shared" si="190"/>
        <v>31.509165821204736</v>
      </c>
      <c r="K80" s="3">
        <f t="shared" si="191"/>
        <v>41.559156165009</v>
      </c>
      <c r="L80" s="3">
        <f t="shared" si="192"/>
        <v>49.305536788939548</v>
      </c>
      <c r="M80" s="3">
        <f t="shared" si="193"/>
        <v>55.213553371391235</v>
      </c>
      <c r="N80" s="3">
        <f t="shared" si="194"/>
        <v>59.690987839854493</v>
      </c>
      <c r="O80" s="3">
        <f t="shared" si="195"/>
        <v>63.058862401996066</v>
      </c>
      <c r="P80" s="3">
        <f t="shared" si="196"/>
        <v>65.558136534826602</v>
      </c>
      <c r="Q80" s="3">
        <f t="shared" si="197"/>
        <v>67.365616204561803</v>
      </c>
      <c r="R80" s="3">
        <f t="shared" si="198"/>
        <v>68.609246864969222</v>
      </c>
      <c r="S80" s="3">
        <f t="shared" si="199"/>
        <v>69.379988242554745</v>
      </c>
      <c r="T80" s="3">
        <f t="shared" si="200"/>
        <v>69.740044458446476</v>
      </c>
      <c r="U80" s="3">
        <f t="shared" si="201"/>
        <v>69.727964070413165</v>
      </c>
      <c r="V80" s="3">
        <f t="shared" si="202"/>
        <v>69.361173813943395</v>
      </c>
      <c r="W80" s="3">
        <f t="shared" si="203"/>
        <v>68.636327162607159</v>
      </c>
      <c r="X80" s="3">
        <f t="shared" si="204"/>
        <v>67.527600932082365</v>
      </c>
      <c r="Y80" s="3">
        <f t="shared" si="205"/>
        <v>65.982812510154233</v>
      </c>
      <c r="Z80" s="3">
        <f t="shared" si="206"/>
        <v>63.916982017332998</v>
      </c>
      <c r="AA80" s="3">
        <f t="shared" si="207"/>
        <v>61.202788756251778</v>
      </c>
      <c r="AB80" s="3">
        <f t="shared" si="208"/>
        <v>57.657461161101885</v>
      </c>
      <c r="AC80" s="3">
        <f t="shared" si="209"/>
        <v>53.026516134230668</v>
      </c>
      <c r="AD80" s="3">
        <f t="shared" si="210"/>
        <v>46.967713970640979</v>
      </c>
      <c r="AE80" s="3">
        <f t="shared" si="211"/>
        <v>39.046546734948095</v>
      </c>
      <c r="AF80" s="3">
        <f t="shared" si="212"/>
        <v>28.77360971982305</v>
      </c>
      <c r="AG80" s="3">
        <f t="shared" si="213"/>
        <v>15.755195179507705</v>
      </c>
      <c r="AH80" s="3">
        <v>0</v>
      </c>
      <c r="AI80"/>
      <c r="AJ80"/>
      <c r="AK80"/>
      <c r="AL80"/>
      <c r="AO80" s="19"/>
      <c r="AP80" s="3">
        <f t="shared" si="111"/>
        <v>0</v>
      </c>
      <c r="AQ80" s="3">
        <f t="shared" si="112"/>
        <v>-65100199.284243219</v>
      </c>
      <c r="AR80" s="3">
        <f t="shared" si="113"/>
        <v>-110591488.88467459</v>
      </c>
      <c r="AS80" s="3">
        <f t="shared" si="114"/>
        <v>-146918732.75459504</v>
      </c>
      <c r="AT80" s="3">
        <f t="shared" si="115"/>
        <v>-175109215.88313779</v>
      </c>
      <c r="AU80" s="3">
        <f t="shared" si="116"/>
        <v>-196676321.09905916</v>
      </c>
      <c r="AV80" s="3">
        <f t="shared" si="117"/>
        <v>-213037389.72577932</v>
      </c>
      <c r="AW80" s="3">
        <f t="shared" si="118"/>
        <v>-225342700.80707687</v>
      </c>
      <c r="AX80" s="3">
        <f t="shared" si="119"/>
        <v>-234469148.2106331</v>
      </c>
      <c r="AY80" s="3">
        <f t="shared" si="120"/>
        <v>-241065172.14490488</v>
      </c>
      <c r="AZ80" s="3">
        <f t="shared" si="121"/>
        <v>-245601595.74999663</v>
      </c>
      <c r="BA80" s="3">
        <f t="shared" si="122"/>
        <v>-248413400.26518369</v>
      </c>
      <c r="BB80" s="3">
        <f t="shared" si="123"/>
        <v>-249729475.81679296</v>
      </c>
      <c r="BC80" s="3">
        <f t="shared" si="124"/>
        <v>-249691335.27137014</v>
      </c>
      <c r="BD80" s="3">
        <f t="shared" si="125"/>
        <v>-248362504.61809984</v>
      </c>
      <c r="BE80" s="3">
        <f t="shared" si="126"/>
        <v>-245729860.88607514</v>
      </c>
      <c r="BF80" s="3">
        <f t="shared" si="127"/>
        <v>-241697376.19669259</v>
      </c>
      <c r="BG80" s="3">
        <f t="shared" si="128"/>
        <v>-236071835.23246327</v>
      </c>
      <c r="BH80" s="3">
        <f t="shared" si="129"/>
        <v>-228539290.18749863</v>
      </c>
      <c r="BI80" s="3">
        <f t="shared" si="130"/>
        <v>-218630632.35242769</v>
      </c>
      <c r="BJ80" s="3">
        <f t="shared" si="131"/>
        <v>-205675602.68290576</v>
      </c>
      <c r="BK80" s="3">
        <f t="shared" si="132"/>
        <v>-188749157.30471063</v>
      </c>
      <c r="BL80" s="3">
        <f t="shared" si="133"/>
        <v>-166627762.34096372</v>
      </c>
      <c r="BM80" s="3">
        <f t="shared" si="134"/>
        <v>-137807403.14108291</v>
      </c>
      <c r="BN80" s="3">
        <f t="shared" si="135"/>
        <v>-100711090.7061065</v>
      </c>
      <c r="BO80" s="3">
        <f t="shared" si="136"/>
        <v>-54360262.49510885</v>
      </c>
      <c r="BP80" s="3">
        <f t="shared" si="137"/>
        <v>0</v>
      </c>
      <c r="BW80" s="19"/>
      <c r="BX80" s="3">
        <v>1</v>
      </c>
      <c r="BY80" s="3">
        <f t="shared" si="138"/>
        <v>0.17990274775391865</v>
      </c>
      <c r="BZ80" s="3">
        <f t="shared" si="139"/>
        <v>0.17990274775391865</v>
      </c>
      <c r="CA80" s="3">
        <f t="shared" si="140"/>
        <v>0.17990274775391865</v>
      </c>
      <c r="CB80" s="3">
        <f t="shared" si="141"/>
        <v>0.17990274775391865</v>
      </c>
      <c r="CC80" s="3">
        <f t="shared" si="142"/>
        <v>0.17990274775391865</v>
      </c>
      <c r="CD80" s="3">
        <f t="shared" si="143"/>
        <v>0.17990274775391865</v>
      </c>
      <c r="CE80" s="3">
        <f t="shared" si="144"/>
        <v>0.17990274775391865</v>
      </c>
      <c r="CF80" s="3">
        <f t="shared" si="145"/>
        <v>0.17990274775391865</v>
      </c>
      <c r="CG80" s="3">
        <f t="shared" si="146"/>
        <v>0.17990274775391865</v>
      </c>
      <c r="CH80" s="3">
        <f t="shared" si="147"/>
        <v>0.17990274775391865</v>
      </c>
      <c r="CI80" s="3">
        <f t="shared" si="148"/>
        <v>0.17990274775391865</v>
      </c>
      <c r="CJ80" s="3">
        <f t="shared" si="149"/>
        <v>0.17990274775391865</v>
      </c>
      <c r="CK80" s="3">
        <f t="shared" si="150"/>
        <v>0.17990274775391865</v>
      </c>
      <c r="CL80" s="3">
        <f t="shared" si="151"/>
        <v>0.17990274775391865</v>
      </c>
      <c r="CM80" s="3">
        <f t="shared" si="152"/>
        <v>0.17990274775391865</v>
      </c>
      <c r="CN80" s="3">
        <f t="shared" si="153"/>
        <v>0.17990274775391865</v>
      </c>
      <c r="CO80" s="3">
        <f t="shared" si="154"/>
        <v>0.17990274775391865</v>
      </c>
      <c r="CP80" s="3">
        <f t="shared" si="155"/>
        <v>0.17990274775391865</v>
      </c>
      <c r="CQ80" s="3">
        <f t="shared" si="156"/>
        <v>0.17990274775391865</v>
      </c>
      <c r="CR80" s="3">
        <f t="shared" si="157"/>
        <v>0.17990274775391865</v>
      </c>
      <c r="CS80" s="3">
        <f t="shared" si="158"/>
        <v>0.17990274775391865</v>
      </c>
      <c r="CT80" s="3">
        <f t="shared" si="159"/>
        <v>0.17990274775391865</v>
      </c>
      <c r="CU80" s="3">
        <f t="shared" si="160"/>
        <v>0.17990274775391865</v>
      </c>
      <c r="CV80" s="3">
        <f t="shared" si="161"/>
        <v>0.17990274775391865</v>
      </c>
      <c r="CW80" s="3">
        <f t="shared" si="162"/>
        <v>0.17990274775391865</v>
      </c>
      <c r="CX80" s="3">
        <f t="shared" si="163"/>
        <v>0.17990274775391865</v>
      </c>
      <c r="DE80" s="19"/>
      <c r="DF80" s="3">
        <v>0</v>
      </c>
      <c r="DG80" s="3">
        <f t="shared" si="164"/>
        <v>14.25842309933892</v>
      </c>
      <c r="DH80" s="3">
        <f t="shared" si="165"/>
        <v>24.309992229111767</v>
      </c>
      <c r="DI80" s="3">
        <f t="shared" si="166"/>
        <v>32.417432539206025</v>
      </c>
      <c r="DJ80" s="3">
        <f t="shared" si="167"/>
        <v>38.770515580286968</v>
      </c>
      <c r="DK80" s="3">
        <f t="shared" si="168"/>
        <v>43.673888515324066</v>
      </c>
      <c r="DL80" s="3">
        <f t="shared" si="169"/>
        <v>47.421842794290512</v>
      </c>
      <c r="DM80" s="3">
        <f t="shared" si="170"/>
        <v>50.258269292387922</v>
      </c>
      <c r="DN80" s="3">
        <f t="shared" si="171"/>
        <v>52.372239257697849</v>
      </c>
      <c r="DO80" s="3">
        <f t="shared" si="172"/>
        <v>53.905567703656303</v>
      </c>
      <c r="DP80" s="3">
        <f t="shared" si="173"/>
        <v>54.96249092241856</v>
      </c>
      <c r="DQ80" s="3">
        <f t="shared" si="174"/>
        <v>55.61795771011068</v>
      </c>
      <c r="DR80" s="3">
        <f t="shared" si="175"/>
        <v>55.923662115869206</v>
      </c>
      <c r="DS80" s="3">
        <f t="shared" si="176"/>
        <v>55.911876580318825</v>
      </c>
      <c r="DT80" s="3">
        <f t="shared" si="177"/>
        <v>55.597366696541542</v>
      </c>
      <c r="DU80" s="3">
        <f t="shared" si="178"/>
        <v>54.97761928343084</v>
      </c>
      <c r="DV80" s="3">
        <f t="shared" si="179"/>
        <v>54.031472854462322</v>
      </c>
      <c r="DW80" s="3">
        <f t="shared" si="180"/>
        <v>52.716075896041282</v>
      </c>
      <c r="DX80" s="3">
        <f t="shared" si="181"/>
        <v>50.961959146315358</v>
      </c>
      <c r="DY80" s="3">
        <f t="shared" si="182"/>
        <v>48.665973788725282</v>
      </c>
      <c r="DZ80" s="3">
        <f t="shared" si="183"/>
        <v>45.682120541243542</v>
      </c>
      <c r="EA80" s="3">
        <f t="shared" si="184"/>
        <v>41.811366537914438</v>
      </c>
      <c r="EB80" s="3">
        <f t="shared" si="185"/>
        <v>36.794522737598889</v>
      </c>
      <c r="EC80" s="3">
        <f t="shared" si="186"/>
        <v>30.319399625250444</v>
      </c>
      <c r="ED80" s="3">
        <f t="shared" si="187"/>
        <v>22.068784091540255</v>
      </c>
      <c r="EE80" s="3">
        <f t="shared" si="188"/>
        <v>11.864246843939988</v>
      </c>
      <c r="EF80" s="3">
        <v>0</v>
      </c>
    </row>
    <row r="81" spans="7:136" x14ac:dyDescent="0.3">
      <c r="G81" s="13"/>
      <c r="H81" s="3">
        <v>0</v>
      </c>
      <c r="I81" s="3">
        <f t="shared" si="189"/>
        <v>14.801417934926622</v>
      </c>
      <c r="J81" s="3">
        <f t="shared" si="190"/>
        <v>25.568001814221731</v>
      </c>
      <c r="K81" s="3">
        <f t="shared" si="191"/>
        <v>34.591092026320908</v>
      </c>
      <c r="L81" s="3">
        <f t="shared" si="192"/>
        <v>41.92603148788946</v>
      </c>
      <c r="M81" s="3">
        <f t="shared" si="193"/>
        <v>47.773072326627648</v>
      </c>
      <c r="N81" s="3">
        <f t="shared" si="194"/>
        <v>52.364634916672046</v>
      </c>
      <c r="O81" s="3">
        <f t="shared" si="195"/>
        <v>55.915638206143356</v>
      </c>
      <c r="P81" s="3">
        <f t="shared" si="196"/>
        <v>58.606729006551767</v>
      </c>
      <c r="Q81" s="3">
        <f t="shared" si="197"/>
        <v>60.582369962405984</v>
      </c>
      <c r="R81" s="3">
        <f t="shared" si="198"/>
        <v>61.954415424903914</v>
      </c>
      <c r="S81" s="3">
        <f t="shared" si="199"/>
        <v>62.806808026705902</v>
      </c>
      <c r="T81" s="3">
        <f t="shared" si="200"/>
        <v>63.199594316807136</v>
      </c>
      <c r="U81" s="3">
        <f t="shared" si="201"/>
        <v>63.171650385566835</v>
      </c>
      <c r="V81" s="3">
        <f t="shared" si="202"/>
        <v>62.741996838250145</v>
      </c>
      <c r="W81" s="3">
        <f t="shared" si="203"/>
        <v>61.909735238775824</v>
      </c>
      <c r="X81" s="3">
        <f t="shared" si="204"/>
        <v>60.652647332848346</v>
      </c>
      <c r="Y81" s="3">
        <f t="shared" si="205"/>
        <v>58.924470402528989</v>
      </c>
      <c r="Z81" s="3">
        <f t="shared" si="206"/>
        <v>56.650880456334853</v>
      </c>
      <c r="AA81" s="3">
        <f t="shared" si="207"/>
        <v>53.724394010702113</v>
      </c>
      <c r="AB81" s="3">
        <f t="shared" si="208"/>
        <v>49.998950491622139</v>
      </c>
      <c r="AC81" s="3">
        <f t="shared" si="209"/>
        <v>45.28626707287188</v>
      </c>
      <c r="AD81" s="3">
        <f t="shared" si="210"/>
        <v>39.358898714684933</v>
      </c>
      <c r="AE81" s="3">
        <f t="shared" si="211"/>
        <v>31.970437456863841</v>
      </c>
      <c r="AF81" s="3">
        <f t="shared" si="212"/>
        <v>22.91270981736406</v>
      </c>
      <c r="AG81" s="3">
        <f t="shared" si="213"/>
        <v>12.142675200880616</v>
      </c>
      <c r="AH81" s="3">
        <v>0</v>
      </c>
      <c r="AI81"/>
      <c r="AJ81"/>
      <c r="AK81"/>
      <c r="AL81"/>
      <c r="AO81" s="19"/>
      <c r="AP81" s="3">
        <f t="shared" si="111"/>
        <v>0</v>
      </c>
      <c r="AQ81" s="3">
        <f t="shared" si="112"/>
        <v>-51879075.921405219</v>
      </c>
      <c r="AR81" s="3">
        <f t="shared" si="113"/>
        <v>-90147835.722098395</v>
      </c>
      <c r="AS81" s="3">
        <f t="shared" si="114"/>
        <v>-122516173.82414795</v>
      </c>
      <c r="AT81" s="3">
        <f t="shared" si="115"/>
        <v>-148986554.79296577</v>
      </c>
      <c r="AU81" s="3">
        <f t="shared" si="116"/>
        <v>-170163128.08729643</v>
      </c>
      <c r="AV81" s="3">
        <f t="shared" si="117"/>
        <v>-186825205.28546402</v>
      </c>
      <c r="AW81" s="3">
        <f t="shared" si="118"/>
        <v>-199723306.70564771</v>
      </c>
      <c r="AX81" s="3">
        <f t="shared" si="119"/>
        <v>-209501516.66791552</v>
      </c>
      <c r="AY81" s="3">
        <f t="shared" si="120"/>
        <v>-216680861.50073549</v>
      </c>
      <c r="AZ81" s="3">
        <f t="shared" si="121"/>
        <v>-221667309.36053729</v>
      </c>
      <c r="BA81" s="3">
        <f t="shared" si="122"/>
        <v>-224766476.64654678</v>
      </c>
      <c r="BB81" s="3">
        <f t="shared" si="123"/>
        <v>-226197200.80378681</v>
      </c>
      <c r="BC81" s="3">
        <f t="shared" si="124"/>
        <v>-226101053.59688649</v>
      </c>
      <c r="BD81" s="3">
        <f t="shared" si="125"/>
        <v>-224546998.04478222</v>
      </c>
      <c r="BE81" s="3">
        <f t="shared" si="126"/>
        <v>-221531146.10773331</v>
      </c>
      <c r="BF81" s="3">
        <f t="shared" si="127"/>
        <v>-216971725.36144108</v>
      </c>
      <c r="BG81" s="3">
        <f t="shared" si="128"/>
        <v>-210699356.78948385</v>
      </c>
      <c r="BH81" s="3">
        <f t="shared" si="129"/>
        <v>-202442938.40106922</v>
      </c>
      <c r="BI81" s="3">
        <f t="shared" si="130"/>
        <v>-191812297.73396835</v>
      </c>
      <c r="BJ81" s="3">
        <f t="shared" si="131"/>
        <v>-178281167.62916046</v>
      </c>
      <c r="BK81" s="3">
        <f t="shared" si="132"/>
        <v>-161179501.07701427</v>
      </c>
      <c r="BL81" s="3">
        <f t="shared" si="133"/>
        <v>-139715253.44566685</v>
      </c>
      <c r="BM81" s="3">
        <f t="shared" si="134"/>
        <v>-113065960.64721145</v>
      </c>
      <c r="BN81" s="3">
        <f t="shared" si="135"/>
        <v>-80611455.28052184</v>
      </c>
      <c r="BO81" s="3">
        <f t="shared" si="136"/>
        <v>-42410411.237952046</v>
      </c>
      <c r="BP81" s="3">
        <f t="shared" si="137"/>
        <v>0</v>
      </c>
      <c r="BW81" s="19"/>
      <c r="BX81" s="3">
        <v>1</v>
      </c>
      <c r="BY81" s="3">
        <f t="shared" si="138"/>
        <v>0.17990274775391865</v>
      </c>
      <c r="BZ81" s="3">
        <f t="shared" si="139"/>
        <v>0.17990274775391865</v>
      </c>
      <c r="CA81" s="3">
        <f t="shared" si="140"/>
        <v>0.17990274775391865</v>
      </c>
      <c r="CB81" s="3">
        <f t="shared" si="141"/>
        <v>0.17990274775391865</v>
      </c>
      <c r="CC81" s="3">
        <f t="shared" si="142"/>
        <v>0.17990274775391865</v>
      </c>
      <c r="CD81" s="3">
        <f t="shared" si="143"/>
        <v>0.17990274775391865</v>
      </c>
      <c r="CE81" s="3">
        <f t="shared" si="144"/>
        <v>0.17990274775391865</v>
      </c>
      <c r="CF81" s="3">
        <f t="shared" si="145"/>
        <v>0.17990274775391865</v>
      </c>
      <c r="CG81" s="3">
        <f t="shared" si="146"/>
        <v>0.17990274775391865</v>
      </c>
      <c r="CH81" s="3">
        <f t="shared" si="147"/>
        <v>0.17990274775391865</v>
      </c>
      <c r="CI81" s="3">
        <f t="shared" si="148"/>
        <v>0.17990274775391865</v>
      </c>
      <c r="CJ81" s="3">
        <f t="shared" si="149"/>
        <v>0.17990274775391865</v>
      </c>
      <c r="CK81" s="3">
        <f t="shared" si="150"/>
        <v>0.17990274775391865</v>
      </c>
      <c r="CL81" s="3">
        <f t="shared" si="151"/>
        <v>0.17990274775391865</v>
      </c>
      <c r="CM81" s="3">
        <f t="shared" si="152"/>
        <v>0.17990274775391865</v>
      </c>
      <c r="CN81" s="3">
        <f t="shared" si="153"/>
        <v>0.17990274775391865</v>
      </c>
      <c r="CO81" s="3">
        <f t="shared" si="154"/>
        <v>0.17990274775391865</v>
      </c>
      <c r="CP81" s="3">
        <f t="shared" si="155"/>
        <v>0.17990274775391865</v>
      </c>
      <c r="CQ81" s="3">
        <f t="shared" si="156"/>
        <v>0.17990274775391865</v>
      </c>
      <c r="CR81" s="3">
        <f t="shared" si="157"/>
        <v>0.17990274775391865</v>
      </c>
      <c r="CS81" s="3">
        <f t="shared" si="158"/>
        <v>0.17990274775391865</v>
      </c>
      <c r="CT81" s="3">
        <f t="shared" si="159"/>
        <v>0.17990274775391865</v>
      </c>
      <c r="CU81" s="3">
        <f t="shared" si="160"/>
        <v>0.17990274775391865</v>
      </c>
      <c r="CV81" s="3">
        <f t="shared" si="161"/>
        <v>0.17990274775391865</v>
      </c>
      <c r="CW81" s="3">
        <f t="shared" si="162"/>
        <v>0.17990274775391865</v>
      </c>
      <c r="CX81" s="3">
        <f t="shared" si="163"/>
        <v>0.17990274775391865</v>
      </c>
      <c r="DE81" s="19"/>
      <c r="DF81" s="3">
        <v>0</v>
      </c>
      <c r="DG81" s="3">
        <f t="shared" si="164"/>
        <v>11.426129445541264</v>
      </c>
      <c r="DH81" s="3">
        <f t="shared" si="165"/>
        <v>19.899416303553139</v>
      </c>
      <c r="DI81" s="3">
        <f t="shared" si="166"/>
        <v>27.114485637901584</v>
      </c>
      <c r="DJ81" s="3">
        <f t="shared" si="167"/>
        <v>33.055829940077309</v>
      </c>
      <c r="DK81" s="3">
        <f t="shared" si="168"/>
        <v>37.840002361856726</v>
      </c>
      <c r="DL81" s="3">
        <f t="shared" si="169"/>
        <v>41.62606218813648</v>
      </c>
      <c r="DM81" s="3">
        <f t="shared" si="170"/>
        <v>44.571175589787991</v>
      </c>
      <c r="DN81" s="3">
        <f t="shared" si="171"/>
        <v>46.8126401063099</v>
      </c>
      <c r="DO81" s="3">
        <f t="shared" si="172"/>
        <v>48.463110503069409</v>
      </c>
      <c r="DP81" s="3">
        <f t="shared" si="173"/>
        <v>49.611423392569023</v>
      </c>
      <c r="DQ81" s="3">
        <f t="shared" si="174"/>
        <v>50.325157502735735</v>
      </c>
      <c r="DR81" s="3">
        <f t="shared" si="175"/>
        <v>50.653168690252166</v>
      </c>
      <c r="DS81" s="3">
        <f t="shared" si="176"/>
        <v>50.627398054012993</v>
      </c>
      <c r="DT81" s="3">
        <f t="shared" si="177"/>
        <v>50.263731081684583</v>
      </c>
      <c r="DU81" s="3">
        <f t="shared" si="178"/>
        <v>49.561871386485869</v>
      </c>
      <c r="DV81" s="3">
        <f t="shared" si="179"/>
        <v>48.504246375936653</v>
      </c>
      <c r="DW81" s="3">
        <f t="shared" si="180"/>
        <v>47.053981127420606</v>
      </c>
      <c r="DX81" s="3">
        <f t="shared" si="181"/>
        <v>45.152039763278843</v>
      </c>
      <c r="DY81" s="3">
        <f t="shared" si="182"/>
        <v>42.71384414324978</v>
      </c>
      <c r="DZ81" s="3">
        <f t="shared" si="183"/>
        <v>39.626214800225064</v>
      </c>
      <c r="EA81" s="3">
        <f t="shared" si="184"/>
        <v>35.746651116506285</v>
      </c>
      <c r="EB81" s="3">
        <f t="shared" si="185"/>
        <v>30.909277915646509</v>
      </c>
      <c r="EC81" s="3">
        <f t="shared" si="186"/>
        <v>24.945856408944881</v>
      </c>
      <c r="ED81" s="3">
        <f t="shared" si="187"/>
        <v>17.736258365969032</v>
      </c>
      <c r="EE81" s="3">
        <f t="shared" si="188"/>
        <v>9.3082722966878855</v>
      </c>
      <c r="EF81" s="3">
        <v>0</v>
      </c>
    </row>
    <row r="82" spans="7:136" x14ac:dyDescent="0.3">
      <c r="G82" s="13"/>
      <c r="H82" s="3">
        <v>0</v>
      </c>
      <c r="I82" s="3">
        <f t="shared" si="189"/>
        <v>12.121021011722918</v>
      </c>
      <c r="J82" s="3">
        <f t="shared" si="190"/>
        <v>21.283675185340897</v>
      </c>
      <c r="K82" s="3">
        <f t="shared" si="191"/>
        <v>29.286647821638624</v>
      </c>
      <c r="L82" s="3">
        <f t="shared" si="192"/>
        <v>36.051127949536983</v>
      </c>
      <c r="M82" s="3">
        <f t="shared" si="193"/>
        <v>41.631524766198112</v>
      </c>
      <c r="N82" s="3">
        <f t="shared" si="194"/>
        <v>46.141799982169573</v>
      </c>
      <c r="O82" s="3">
        <f t="shared" si="195"/>
        <v>49.712242379438692</v>
      </c>
      <c r="P82" s="3">
        <f t="shared" si="196"/>
        <v>52.467433487731171</v>
      </c>
      <c r="Q82" s="3">
        <f t="shared" si="197"/>
        <v>54.516685282824831</v>
      </c>
      <c r="R82" s="3">
        <f t="shared" si="198"/>
        <v>55.950931912616525</v>
      </c>
      <c r="S82" s="3">
        <f t="shared" si="199"/>
        <v>56.842482902382606</v>
      </c>
      <c r="T82" s="3">
        <f t="shared" si="200"/>
        <v>57.245694625364507</v>
      </c>
      <c r="U82" s="3">
        <f t="shared" si="201"/>
        <v>57.197598945494278</v>
      </c>
      <c r="V82" s="3">
        <f t="shared" si="202"/>
        <v>56.718063179763078</v>
      </c>
      <c r="W82" s="3">
        <f t="shared" si="203"/>
        <v>55.809329297045622</v>
      </c>
      <c r="X82" s="3">
        <f t="shared" si="204"/>
        <v>54.454923406553931</v>
      </c>
      <c r="Y82" s="3">
        <f t="shared" si="205"/>
        <v>52.61803315981247</v>
      </c>
      <c r="Z82" s="3">
        <f t="shared" si="206"/>
        <v>50.239603628769721</v>
      </c>
      <c r="AA82" s="3">
        <f t="shared" si="207"/>
        <v>47.236699883764487</v>
      </c>
      <c r="AB82" s="3">
        <f t="shared" si="208"/>
        <v>43.50226649460398</v>
      </c>
      <c r="AC82" s="3">
        <f t="shared" si="209"/>
        <v>38.908478001434048</v>
      </c>
      <c r="AD82" s="3">
        <f t="shared" si="210"/>
        <v>33.317648245871155</v>
      </c>
      <c r="AE82" s="3">
        <f t="shared" si="211"/>
        <v>26.607236395775967</v>
      </c>
      <c r="AF82" s="3">
        <f t="shared" si="212"/>
        <v>18.718225544936129</v>
      </c>
      <c r="AG82" s="3">
        <f t="shared" si="213"/>
        <v>9.7362022766324241</v>
      </c>
      <c r="AH82" s="3">
        <v>0</v>
      </c>
      <c r="AI82"/>
      <c r="AJ82"/>
      <c r="AK82"/>
      <c r="AL82"/>
      <c r="AO82" s="19"/>
      <c r="AP82" s="3">
        <f t="shared" si="111"/>
        <v>0</v>
      </c>
      <c r="AQ82" s="3">
        <f t="shared" si="112"/>
        <v>-42750066.722934641</v>
      </c>
      <c r="AR82" s="3">
        <f t="shared" si="113"/>
        <v>-75301451.780066013</v>
      </c>
      <c r="AS82" s="3">
        <f t="shared" si="114"/>
        <v>-103910366.97259074</v>
      </c>
      <c r="AT82" s="3">
        <f t="shared" si="115"/>
        <v>-128206228.98601495</v>
      </c>
      <c r="AU82" s="3">
        <f t="shared" si="116"/>
        <v>-148315162.4087393</v>
      </c>
      <c r="AV82" s="3">
        <f t="shared" si="117"/>
        <v>-164602932.47065073</v>
      </c>
      <c r="AW82" s="3">
        <f t="shared" si="118"/>
        <v>-177514038.36173722</v>
      </c>
      <c r="AX82" s="3">
        <f t="shared" si="119"/>
        <v>-187485187.14499322</v>
      </c>
      <c r="AY82" s="3">
        <f t="shared" si="120"/>
        <v>-194905268.31461868</v>
      </c>
      <c r="AZ82" s="3">
        <f t="shared" si="121"/>
        <v>-200100568.15818948</v>
      </c>
      <c r="BA82" s="3">
        <f t="shared" si="122"/>
        <v>-203331808.67601174</v>
      </c>
      <c r="BB82" s="3">
        <f t="shared" si="123"/>
        <v>-204795460.09865648</v>
      </c>
      <c r="BC82" s="3">
        <f t="shared" si="124"/>
        <v>-204625457.00453702</v>
      </c>
      <c r="BD82" s="3">
        <f t="shared" si="125"/>
        <v>-202893533.41814464</v>
      </c>
      <c r="BE82" s="3">
        <f t="shared" si="126"/>
        <v>-199607500.99521527</v>
      </c>
      <c r="BF82" s="3">
        <f t="shared" si="127"/>
        <v>-194707402.85275328</v>
      </c>
      <c r="BG82" s="3">
        <f t="shared" si="128"/>
        <v>-188059942.84893423</v>
      </c>
      <c r="BH82" s="3">
        <f t="shared" si="129"/>
        <v>-179452237.86144349</v>
      </c>
      <c r="BI82" s="3">
        <f t="shared" si="130"/>
        <v>-168587142.88724923</v>
      </c>
      <c r="BJ82" s="3">
        <f t="shared" si="131"/>
        <v>-155084660.63711429</v>
      </c>
      <c r="BK82" s="3">
        <f t="shared" si="132"/>
        <v>-138497919.95989725</v>
      </c>
      <c r="BL82" s="3">
        <f t="shared" si="133"/>
        <v>-118358473.97651419</v>
      </c>
      <c r="BM82" s="3">
        <f t="shared" si="134"/>
        <v>-94273863.140717581</v>
      </c>
      <c r="BN82" s="3">
        <f t="shared" si="135"/>
        <v>-66106672.300331272</v>
      </c>
      <c r="BO82" s="3">
        <f t="shared" si="136"/>
        <v>-34255448.418199785</v>
      </c>
      <c r="BP82" s="3">
        <f t="shared" si="137"/>
        <v>0</v>
      </c>
      <c r="BW82" s="19"/>
      <c r="BX82" s="3">
        <v>1</v>
      </c>
      <c r="BY82" s="3">
        <f t="shared" si="138"/>
        <v>0.17990274775391865</v>
      </c>
      <c r="BZ82" s="3">
        <f t="shared" si="139"/>
        <v>0.17990274775391865</v>
      </c>
      <c r="CA82" s="3">
        <f t="shared" si="140"/>
        <v>0.17990274775391865</v>
      </c>
      <c r="CB82" s="3">
        <f t="shared" si="141"/>
        <v>0.17990274775391865</v>
      </c>
      <c r="CC82" s="3">
        <f t="shared" si="142"/>
        <v>0.17990274775391865</v>
      </c>
      <c r="CD82" s="3">
        <f t="shared" si="143"/>
        <v>0.17990274775391865</v>
      </c>
      <c r="CE82" s="3">
        <f t="shared" si="144"/>
        <v>0.17990274775391865</v>
      </c>
      <c r="CF82" s="3">
        <f t="shared" si="145"/>
        <v>0.17990274775391865</v>
      </c>
      <c r="CG82" s="3">
        <f t="shared" si="146"/>
        <v>0.17990274775391865</v>
      </c>
      <c r="CH82" s="3">
        <f t="shared" si="147"/>
        <v>0.17990274775391865</v>
      </c>
      <c r="CI82" s="3">
        <f t="shared" si="148"/>
        <v>0.17990274775391865</v>
      </c>
      <c r="CJ82" s="3">
        <f t="shared" si="149"/>
        <v>0.17990274775391865</v>
      </c>
      <c r="CK82" s="3">
        <f t="shared" si="150"/>
        <v>0.17990274775391865</v>
      </c>
      <c r="CL82" s="3">
        <f t="shared" si="151"/>
        <v>0.17990274775391865</v>
      </c>
      <c r="CM82" s="3">
        <f t="shared" si="152"/>
        <v>0.17990274775391865</v>
      </c>
      <c r="CN82" s="3">
        <f t="shared" si="153"/>
        <v>0.17990274775391865</v>
      </c>
      <c r="CO82" s="3">
        <f t="shared" si="154"/>
        <v>0.17990274775391865</v>
      </c>
      <c r="CP82" s="3">
        <f t="shared" si="155"/>
        <v>0.17990274775391865</v>
      </c>
      <c r="CQ82" s="3">
        <f t="shared" si="156"/>
        <v>0.17990274775391865</v>
      </c>
      <c r="CR82" s="3">
        <f t="shared" si="157"/>
        <v>0.17990274775391865</v>
      </c>
      <c r="CS82" s="3">
        <f t="shared" si="158"/>
        <v>0.17990274775391865</v>
      </c>
      <c r="CT82" s="3">
        <f t="shared" si="159"/>
        <v>0.17990274775391865</v>
      </c>
      <c r="CU82" s="3">
        <f t="shared" si="160"/>
        <v>0.17990274775391865</v>
      </c>
      <c r="CV82" s="3">
        <f t="shared" si="161"/>
        <v>0.17990274775391865</v>
      </c>
      <c r="CW82" s="3">
        <f t="shared" si="162"/>
        <v>0.17990274775391865</v>
      </c>
      <c r="CX82" s="3">
        <f t="shared" si="163"/>
        <v>0.17990274775391865</v>
      </c>
      <c r="DE82" s="19"/>
      <c r="DF82" s="3">
        <v>0</v>
      </c>
      <c r="DG82" s="3">
        <f t="shared" si="164"/>
        <v>9.4582052545754873</v>
      </c>
      <c r="DH82" s="3">
        <f t="shared" si="165"/>
        <v>16.683921404385231</v>
      </c>
      <c r="DI82" s="3">
        <f t="shared" si="166"/>
        <v>23.063615318294826</v>
      </c>
      <c r="DJ82" s="3">
        <f t="shared" si="167"/>
        <v>28.508519682448355</v>
      </c>
      <c r="DK82" s="3">
        <f t="shared" si="168"/>
        <v>33.037017785991104</v>
      </c>
      <c r="DL82" s="3">
        <f t="shared" si="169"/>
        <v>36.721258275529479</v>
      </c>
      <c r="DM82" s="3">
        <f t="shared" si="170"/>
        <v>39.652865423739506</v>
      </c>
      <c r="DN82" s="3">
        <f t="shared" si="171"/>
        <v>41.923921902583224</v>
      </c>
      <c r="DO82" s="3">
        <f t="shared" si="172"/>
        <v>43.61775046114353</v>
      </c>
      <c r="DP82" s="3">
        <f t="shared" si="173"/>
        <v>44.805162342188545</v>
      </c>
      <c r="DQ82" s="3">
        <f t="shared" si="174"/>
        <v>45.543365560725341</v>
      </c>
      <c r="DR82" s="3">
        <f t="shared" si="175"/>
        <v>45.875913950837962</v>
      </c>
      <c r="DS82" s="3">
        <f t="shared" si="176"/>
        <v>45.832845460980913</v>
      </c>
      <c r="DT82" s="3">
        <f t="shared" si="177"/>
        <v>45.430605548994201</v>
      </c>
      <c r="DU82" s="3">
        <f t="shared" si="178"/>
        <v>44.67159781487225</v>
      </c>
      <c r="DV82" s="3">
        <f t="shared" si="179"/>
        <v>43.543345492825125</v>
      </c>
      <c r="DW82" s="3">
        <f t="shared" si="180"/>
        <v>42.01735902445305</v>
      </c>
      <c r="DX82" s="3">
        <f t="shared" si="181"/>
        <v>40.047954571996314</v>
      </c>
      <c r="DY82" s="3">
        <f t="shared" si="182"/>
        <v>37.571533779825003</v>
      </c>
      <c r="DZ82" s="3">
        <f t="shared" si="183"/>
        <v>34.507317916349017</v>
      </c>
      <c r="EA82" s="3">
        <f t="shared" si="184"/>
        <v>30.761354119506588</v>
      </c>
      <c r="EB82" s="3">
        <f t="shared" si="185"/>
        <v>26.23687421853116</v>
      </c>
      <c r="EC82" s="3">
        <f t="shared" si="186"/>
        <v>20.855666850391358</v>
      </c>
      <c r="ED82" s="3">
        <f t="shared" si="187"/>
        <v>14.596166090304147</v>
      </c>
      <c r="EE82" s="3">
        <f t="shared" si="188"/>
        <v>7.5517016429106354</v>
      </c>
      <c r="EF82" s="3">
        <v>0</v>
      </c>
    </row>
    <row r="83" spans="7:136" x14ac:dyDescent="0.3">
      <c r="G83" s="13"/>
      <c r="H83" s="3">
        <v>0</v>
      </c>
      <c r="I83" s="3">
        <f t="shared" si="189"/>
        <v>10.211818969369526</v>
      </c>
      <c r="J83" s="3">
        <f t="shared" si="190"/>
        <v>18.108357529703021</v>
      </c>
      <c r="K83" s="3">
        <f t="shared" si="191"/>
        <v>25.201397832641192</v>
      </c>
      <c r="L83" s="3">
        <f t="shared" si="192"/>
        <v>31.369466832728442</v>
      </c>
      <c r="M83" s="3">
        <f t="shared" si="193"/>
        <v>36.593123908144989</v>
      </c>
      <c r="N83" s="3">
        <f t="shared" si="194"/>
        <v>40.912810109350538</v>
      </c>
      <c r="O83" s="3">
        <f t="shared" si="195"/>
        <v>44.398124542839412</v>
      </c>
      <c r="P83" s="3">
        <f t="shared" si="196"/>
        <v>47.128306491265704</v>
      </c>
      <c r="Q83" s="3">
        <f t="shared" si="197"/>
        <v>49.180978438241155</v>
      </c>
      <c r="R83" s="3">
        <f t="shared" si="198"/>
        <v>50.626139152664713</v>
      </c>
      <c r="S83" s="3">
        <f t="shared" si="199"/>
        <v>51.523136144366269</v>
      </c>
      <c r="T83" s="3">
        <f t="shared" si="200"/>
        <v>51.919135679860418</v>
      </c>
      <c r="U83" s="3">
        <f t="shared" si="201"/>
        <v>51.848216517045259</v>
      </c>
      <c r="V83" s="3">
        <f t="shared" si="202"/>
        <v>51.330623719095257</v>
      </c>
      <c r="W83" s="3">
        <f t="shared" si="203"/>
        <v>50.371981939433525</v>
      </c>
      <c r="X83" s="3">
        <f t="shared" si="204"/>
        <v>48.962445797817253</v>
      </c>
      <c r="Y83" s="3">
        <f t="shared" si="205"/>
        <v>47.075917635726071</v>
      </c>
      <c r="Z83" s="3">
        <f t="shared" si="206"/>
        <v>44.669647313748527</v>
      </c>
      <c r="AA83" s="3">
        <f t="shared" si="207"/>
        <v>41.684805087306884</v>
      </c>
      <c r="AB83" s="3">
        <f t="shared" si="208"/>
        <v>38.049050405837797</v>
      </c>
      <c r="AC83" s="3">
        <f t="shared" si="209"/>
        <v>33.682755148790896</v>
      </c>
      <c r="AD83" s="3">
        <f t="shared" si="210"/>
        <v>28.51134866853403</v>
      </c>
      <c r="AE83" s="3">
        <f t="shared" si="211"/>
        <v>22.486960274660504</v>
      </c>
      <c r="AF83" s="3">
        <f t="shared" si="212"/>
        <v>15.622274811829831</v>
      </c>
      <c r="AG83" s="3">
        <f t="shared" si="213"/>
        <v>8.03620829988804</v>
      </c>
      <c r="AH83" s="3">
        <v>0</v>
      </c>
      <c r="AI83"/>
      <c r="AJ83"/>
      <c r="AK83"/>
      <c r="AL83"/>
      <c r="AO83" s="19"/>
      <c r="AP83" s="3">
        <f t="shared" si="111"/>
        <v>0</v>
      </c>
      <c r="AQ83" s="3">
        <f t="shared" si="112"/>
        <v>-36159360.365587518</v>
      </c>
      <c r="AR83" s="3">
        <f t="shared" si="113"/>
        <v>-64230511.446643025</v>
      </c>
      <c r="AS83" s="3">
        <f t="shared" si="114"/>
        <v>-89548976.216232181</v>
      </c>
      <c r="AT83" s="3">
        <f t="shared" si="115"/>
        <v>-111643343.33197972</v>
      </c>
      <c r="AU83" s="3">
        <f t="shared" si="116"/>
        <v>-130405948.81538755</v>
      </c>
      <c r="AV83" s="3">
        <f t="shared" si="117"/>
        <v>-145952664.10871556</v>
      </c>
      <c r="AW83" s="3">
        <f t="shared" si="118"/>
        <v>-158514092.93984503</v>
      </c>
      <c r="AX83" s="3">
        <f t="shared" si="119"/>
        <v>-168363482.54779199</v>
      </c>
      <c r="AY83" s="3">
        <f t="shared" si="120"/>
        <v>-175773691.8886084</v>
      </c>
      <c r="AZ83" s="3">
        <f t="shared" si="121"/>
        <v>-180993462.1983566</v>
      </c>
      <c r="BA83" s="3">
        <f t="shared" si="122"/>
        <v>-184235041.52105221</v>
      </c>
      <c r="BB83" s="3">
        <f t="shared" si="123"/>
        <v>-185667743.99773443</v>
      </c>
      <c r="BC83" s="3">
        <f t="shared" si="124"/>
        <v>-185414148.27181494</v>
      </c>
      <c r="BD83" s="3">
        <f t="shared" si="125"/>
        <v>-183547141.51972207</v>
      </c>
      <c r="BE83" s="3">
        <f t="shared" si="126"/>
        <v>-180087012.48638323</v>
      </c>
      <c r="BF83" s="3">
        <f t="shared" si="127"/>
        <v>-174998491.25800398</v>
      </c>
      <c r="BG83" s="3">
        <f t="shared" si="128"/>
        <v>-168188235.46228117</v>
      </c>
      <c r="BH83" s="3">
        <f t="shared" si="129"/>
        <v>-159503979.75797644</v>
      </c>
      <c r="BI83" s="3">
        <f t="shared" si="130"/>
        <v>-148737610.3475779</v>
      </c>
      <c r="BJ83" s="3">
        <f t="shared" si="131"/>
        <v>-135636001.40496054</v>
      </c>
      <c r="BK83" s="3">
        <f t="shared" si="132"/>
        <v>-119925654.71385424</v>
      </c>
      <c r="BL83" s="3">
        <f t="shared" si="133"/>
        <v>-101359733.22108521</v>
      </c>
      <c r="BM83" s="3">
        <f t="shared" si="134"/>
        <v>-79797655.126129463</v>
      </c>
      <c r="BN83" s="3">
        <f t="shared" si="135"/>
        <v>-55324408.302850544</v>
      </c>
      <c r="BO83" s="3">
        <f t="shared" si="136"/>
        <v>-28401400.863974366</v>
      </c>
      <c r="BP83" s="3">
        <f t="shared" si="137"/>
        <v>0</v>
      </c>
      <c r="BW83" s="19"/>
      <c r="BX83" s="3">
        <v>1</v>
      </c>
      <c r="BY83" s="3">
        <f t="shared" si="138"/>
        <v>0.17990274775391865</v>
      </c>
      <c r="BZ83" s="3">
        <f t="shared" si="139"/>
        <v>0.17990274775391865</v>
      </c>
      <c r="CA83" s="3">
        <f t="shared" si="140"/>
        <v>0.17990274775391865</v>
      </c>
      <c r="CB83" s="3">
        <f t="shared" si="141"/>
        <v>0.17990274775391865</v>
      </c>
      <c r="CC83" s="3">
        <f t="shared" si="142"/>
        <v>0.17990274775391865</v>
      </c>
      <c r="CD83" s="3">
        <f t="shared" si="143"/>
        <v>0.17990274775391865</v>
      </c>
      <c r="CE83" s="3">
        <f t="shared" si="144"/>
        <v>0.17990274775391865</v>
      </c>
      <c r="CF83" s="3">
        <f t="shared" si="145"/>
        <v>0.17990274775391865</v>
      </c>
      <c r="CG83" s="3">
        <f t="shared" si="146"/>
        <v>0.17990274775391865</v>
      </c>
      <c r="CH83" s="3">
        <f t="shared" si="147"/>
        <v>0.17990274775391865</v>
      </c>
      <c r="CI83" s="3">
        <f t="shared" si="148"/>
        <v>0.17990274775391865</v>
      </c>
      <c r="CJ83" s="3">
        <f t="shared" si="149"/>
        <v>0.17990274775391865</v>
      </c>
      <c r="CK83" s="3">
        <f t="shared" si="150"/>
        <v>0.17990274775391865</v>
      </c>
      <c r="CL83" s="3">
        <f t="shared" si="151"/>
        <v>0.17990274775391865</v>
      </c>
      <c r="CM83" s="3">
        <f t="shared" si="152"/>
        <v>0.17990274775391865</v>
      </c>
      <c r="CN83" s="3">
        <f t="shared" si="153"/>
        <v>0.17990274775391865</v>
      </c>
      <c r="CO83" s="3">
        <f t="shared" si="154"/>
        <v>0.17990274775391865</v>
      </c>
      <c r="CP83" s="3">
        <f t="shared" si="155"/>
        <v>0.17990274775391865</v>
      </c>
      <c r="CQ83" s="3">
        <f t="shared" si="156"/>
        <v>0.17990274775391865</v>
      </c>
      <c r="CR83" s="3">
        <f t="shared" si="157"/>
        <v>0.17990274775391865</v>
      </c>
      <c r="CS83" s="3">
        <f t="shared" si="158"/>
        <v>0.17990274775391865</v>
      </c>
      <c r="CT83" s="3">
        <f t="shared" si="159"/>
        <v>0.17990274775391865</v>
      </c>
      <c r="CU83" s="3">
        <f t="shared" si="160"/>
        <v>0.17990274775391865</v>
      </c>
      <c r="CV83" s="3">
        <f t="shared" si="161"/>
        <v>0.17990274775391865</v>
      </c>
      <c r="CW83" s="3">
        <f t="shared" si="162"/>
        <v>0.17990274775391865</v>
      </c>
      <c r="CX83" s="3">
        <f t="shared" si="163"/>
        <v>0.17990274775391865</v>
      </c>
      <c r="DE83" s="19"/>
      <c r="DF83" s="3">
        <v>0</v>
      </c>
      <c r="DG83" s="3">
        <f t="shared" si="164"/>
        <v>8.0312139837775902</v>
      </c>
      <c r="DH83" s="3">
        <f t="shared" si="165"/>
        <v>14.279365881558299</v>
      </c>
      <c r="DI83" s="3">
        <f t="shared" si="166"/>
        <v>19.932649417027086</v>
      </c>
      <c r="DJ83" s="3">
        <f t="shared" si="167"/>
        <v>24.883769854978645</v>
      </c>
      <c r="DK83" s="3">
        <f t="shared" si="168"/>
        <v>29.103498209520634</v>
      </c>
      <c r="DL83" s="3">
        <f t="shared" si="169"/>
        <v>32.611773506246514</v>
      </c>
      <c r="DM83" s="3">
        <f t="shared" si="170"/>
        <v>35.454755541769586</v>
      </c>
      <c r="DN83" s="3">
        <f t="shared" si="171"/>
        <v>37.689271039226895</v>
      </c>
      <c r="DO83" s="3">
        <f t="shared" si="172"/>
        <v>39.373276957425354</v>
      </c>
      <c r="DP83" s="3">
        <f t="shared" si="173"/>
        <v>40.560412762192584</v>
      </c>
      <c r="DQ83" s="3">
        <f t="shared" si="174"/>
        <v>41.297017281072499</v>
      </c>
      <c r="DR83" s="3">
        <f t="shared" si="175"/>
        <v>41.620477919675608</v>
      </c>
      <c r="DS83" s="3">
        <f t="shared" si="176"/>
        <v>41.558211301824201</v>
      </c>
      <c r="DT83" s="3">
        <f t="shared" si="177"/>
        <v>41.126888305775516</v>
      </c>
      <c r="DU83" s="3">
        <f t="shared" si="178"/>
        <v>40.331730248591747</v>
      </c>
      <c r="DV83" s="3">
        <f t="shared" si="179"/>
        <v>39.165855448249019</v>
      </c>
      <c r="DW83" s="3">
        <f t="shared" si="180"/>
        <v>37.609788888868998</v>
      </c>
      <c r="DX83" s="3">
        <f t="shared" si="181"/>
        <v>35.631404574865115</v>
      </c>
      <c r="DY83" s="3">
        <f t="shared" si="182"/>
        <v>33.186792983390447</v>
      </c>
      <c r="DZ83" s="3">
        <f t="shared" si="183"/>
        <v>30.222873129935312</v>
      </c>
      <c r="EA83" s="3">
        <f t="shared" si="184"/>
        <v>26.683013045410014</v>
      </c>
      <c r="EB83" s="3">
        <f t="shared" si="185"/>
        <v>22.517412200403282</v>
      </c>
      <c r="EC83" s="3">
        <f t="shared" si="186"/>
        <v>17.700245336922336</v>
      </c>
      <c r="ED83" s="3">
        <f t="shared" si="187"/>
        <v>12.254814603218231</v>
      </c>
      <c r="EE83" s="3">
        <f t="shared" si="188"/>
        <v>6.2846387576339087</v>
      </c>
      <c r="EF83" s="3">
        <v>0</v>
      </c>
    </row>
    <row r="84" spans="7:136" x14ac:dyDescent="0.3">
      <c r="G84" s="13"/>
      <c r="H84" s="3">
        <v>0</v>
      </c>
      <c r="I84" s="3">
        <f t="shared" si="189"/>
        <v>8.8034187512679694</v>
      </c>
      <c r="J84" s="3">
        <f t="shared" si="190"/>
        <v>15.706442304788641</v>
      </c>
      <c r="K84" s="3">
        <f t="shared" si="191"/>
        <v>22.026422808784467</v>
      </c>
      <c r="L84" s="3">
        <f t="shared" si="192"/>
        <v>27.636282648925395</v>
      </c>
      <c r="M84" s="3">
        <f t="shared" si="193"/>
        <v>32.482232197634623</v>
      </c>
      <c r="N84" s="3">
        <f t="shared" si="194"/>
        <v>36.561648685905908</v>
      </c>
      <c r="O84" s="3">
        <f t="shared" si="195"/>
        <v>39.903361112065774</v>
      </c>
      <c r="P84" s="3">
        <f t="shared" si="196"/>
        <v>42.552793754800447</v>
      </c>
      <c r="Q84" s="3">
        <f t="shared" si="197"/>
        <v>44.561767073100157</v>
      </c>
      <c r="R84" s="3">
        <f t="shared" si="198"/>
        <v>45.981860048408251</v>
      </c>
      <c r="S84" s="3">
        <f t="shared" si="199"/>
        <v>46.860177965712595</v>
      </c>
      <c r="T84" s="3">
        <f t="shared" si="200"/>
        <v>47.23661198712179</v>
      </c>
      <c r="U84" s="3">
        <f t="shared" si="201"/>
        <v>47.141970953772748</v>
      </c>
      <c r="V84" s="3">
        <f t="shared" si="202"/>
        <v>46.596619390093636</v>
      </c>
      <c r="W84" s="3">
        <f t="shared" si="203"/>
        <v>45.609452638119947</v>
      </c>
      <c r="X84" s="3">
        <f t="shared" si="204"/>
        <v>44.177196198209884</v>
      </c>
      <c r="Y84" s="3">
        <f t="shared" si="205"/>
        <v>42.284158661562785</v>
      </c>
      <c r="Z84" s="3">
        <f t="shared" si="206"/>
        <v>39.90272546108929</v>
      </c>
      <c r="AA84" s="3">
        <f t="shared" si="207"/>
        <v>36.995080277471573</v>
      </c>
      <c r="AB84" s="3">
        <f t="shared" si="208"/>
        <v>33.516895643879231</v>
      </c>
      <c r="AC84" s="3">
        <f t="shared" si="209"/>
        <v>29.424021382340271</v>
      </c>
      <c r="AD84" s="3">
        <f t="shared" si="210"/>
        <v>24.683410937489764</v>
      </c>
      <c r="AE84" s="3">
        <f t="shared" si="211"/>
        <v>19.289378075432705</v>
      </c>
      <c r="AF84" s="3">
        <f t="shared" si="212"/>
        <v>13.285179384635374</v>
      </c>
      <c r="AG84" s="3">
        <f t="shared" si="213"/>
        <v>6.7868661857361152</v>
      </c>
      <c r="AH84" s="3">
        <v>0</v>
      </c>
      <c r="AI84"/>
      <c r="AJ84"/>
      <c r="AK84"/>
      <c r="AL84"/>
      <c r="AO84" s="19"/>
      <c r="AP84" s="3">
        <f t="shared" si="111"/>
        <v>0</v>
      </c>
      <c r="AQ84" s="3">
        <f t="shared" si="112"/>
        <v>-31253877.774308197</v>
      </c>
      <c r="AR84" s="3">
        <f t="shared" si="113"/>
        <v>-55815534.69189617</v>
      </c>
      <c r="AS84" s="3">
        <f t="shared" si="114"/>
        <v>-78363174.824356392</v>
      </c>
      <c r="AT84" s="3">
        <f t="shared" si="115"/>
        <v>-98428370.531384245</v>
      </c>
      <c r="AU84" s="3">
        <f t="shared" si="116"/>
        <v>-115798619.01962036</v>
      </c>
      <c r="AV84" s="3">
        <f t="shared" si="117"/>
        <v>-130446224.44981289</v>
      </c>
      <c r="AW84" s="3">
        <f t="shared" si="118"/>
        <v>-142460584.90697882</v>
      </c>
      <c r="AX84" s="3">
        <f t="shared" si="119"/>
        <v>-151995132.90452039</v>
      </c>
      <c r="AY84" s="3">
        <f t="shared" si="120"/>
        <v>-159229889.24266437</v>
      </c>
      <c r="AZ84" s="3">
        <f t="shared" si="121"/>
        <v>-164346579.30548605</v>
      </c>
      <c r="BA84" s="3">
        <f t="shared" si="122"/>
        <v>-167512527.77964762</v>
      </c>
      <c r="BB84" s="3">
        <f t="shared" si="123"/>
        <v>-168870151.84236744</v>
      </c>
      <c r="BC84" s="3">
        <f t="shared" si="124"/>
        <v>-168529819.07880557</v>
      </c>
      <c r="BD84" s="3">
        <f t="shared" si="125"/>
        <v>-166564717.93045148</v>
      </c>
      <c r="BE84" s="3">
        <f t="shared" si="126"/>
        <v>-163007103.05135068</v>
      </c>
      <c r="BF84" s="3">
        <f t="shared" si="127"/>
        <v>-157845859.79362038</v>
      </c>
      <c r="BG84" s="3">
        <f t="shared" si="128"/>
        <v>-151025867.40601134</v>
      </c>
      <c r="BH84" s="3">
        <f t="shared" si="129"/>
        <v>-142450227.58490169</v>
      </c>
      <c r="BI84" s="3">
        <f t="shared" si="130"/>
        <v>-131987146.2427503</v>
      </c>
      <c r="BJ84" s="3">
        <f t="shared" si="131"/>
        <v>-119484134.48224188</v>
      </c>
      <c r="BK84" s="3">
        <f t="shared" si="132"/>
        <v>-104793098.75419593</v>
      </c>
      <c r="BL84" s="3">
        <f t="shared" si="133"/>
        <v>-87810350.070947662</v>
      </c>
      <c r="BM84" s="3">
        <f t="shared" si="134"/>
        <v>-68534461.492999822</v>
      </c>
      <c r="BN84" s="3">
        <f t="shared" si="135"/>
        <v>-47140106.498249456</v>
      </c>
      <c r="BO84" s="3">
        <f t="shared" si="136"/>
        <v>-24054300.508167673</v>
      </c>
      <c r="BP84" s="3">
        <f t="shared" si="137"/>
        <v>0</v>
      </c>
      <c r="BW84" s="19"/>
      <c r="BX84" s="3">
        <v>1</v>
      </c>
      <c r="BY84" s="3">
        <f t="shared" si="138"/>
        <v>0.17990274775391865</v>
      </c>
      <c r="BZ84" s="3">
        <f t="shared" si="139"/>
        <v>0.17990274775391865</v>
      </c>
      <c r="CA84" s="3">
        <f t="shared" si="140"/>
        <v>0.17990274775391865</v>
      </c>
      <c r="CB84" s="3">
        <f t="shared" si="141"/>
        <v>0.17990274775391865</v>
      </c>
      <c r="CC84" s="3">
        <f t="shared" si="142"/>
        <v>0.17990274775391865</v>
      </c>
      <c r="CD84" s="3">
        <f t="shared" si="143"/>
        <v>0.17990274775391865</v>
      </c>
      <c r="CE84" s="3">
        <f t="shared" si="144"/>
        <v>0.17990274775391865</v>
      </c>
      <c r="CF84" s="3">
        <f t="shared" si="145"/>
        <v>0.17990274775391865</v>
      </c>
      <c r="CG84" s="3">
        <f t="shared" si="146"/>
        <v>0.17990274775391865</v>
      </c>
      <c r="CH84" s="3">
        <f t="shared" si="147"/>
        <v>0.17990274775391865</v>
      </c>
      <c r="CI84" s="3">
        <f t="shared" si="148"/>
        <v>0.17990274775391865</v>
      </c>
      <c r="CJ84" s="3">
        <f t="shared" si="149"/>
        <v>0.17990274775391865</v>
      </c>
      <c r="CK84" s="3">
        <f t="shared" si="150"/>
        <v>0.17990274775391865</v>
      </c>
      <c r="CL84" s="3">
        <f t="shared" si="151"/>
        <v>0.17990274775391865</v>
      </c>
      <c r="CM84" s="3">
        <f t="shared" si="152"/>
        <v>0.17990274775391865</v>
      </c>
      <c r="CN84" s="3">
        <f t="shared" si="153"/>
        <v>0.17990274775391865</v>
      </c>
      <c r="CO84" s="3">
        <f t="shared" si="154"/>
        <v>0.17990274775391865</v>
      </c>
      <c r="CP84" s="3">
        <f t="shared" si="155"/>
        <v>0.17990274775391865</v>
      </c>
      <c r="CQ84" s="3">
        <f t="shared" si="156"/>
        <v>0.17990274775391865</v>
      </c>
      <c r="CR84" s="3">
        <f t="shared" si="157"/>
        <v>0.17990274775391865</v>
      </c>
      <c r="CS84" s="3">
        <f t="shared" si="158"/>
        <v>0.17990274775391865</v>
      </c>
      <c r="CT84" s="3">
        <f t="shared" si="159"/>
        <v>0.17990274775391865</v>
      </c>
      <c r="CU84" s="3">
        <f t="shared" si="160"/>
        <v>0.17990274775391865</v>
      </c>
      <c r="CV84" s="3">
        <f t="shared" si="161"/>
        <v>0.17990274775391865</v>
      </c>
      <c r="CW84" s="3">
        <f t="shared" si="162"/>
        <v>0.17990274775391865</v>
      </c>
      <c r="CX84" s="3">
        <f t="shared" si="163"/>
        <v>0.17990274775391865</v>
      </c>
      <c r="DE84" s="19"/>
      <c r="DF84" s="3">
        <v>0</v>
      </c>
      <c r="DG84" s="3">
        <f t="shared" si="164"/>
        <v>6.9662844591128028</v>
      </c>
      <c r="DH84" s="3">
        <f t="shared" si="165"/>
        <v>12.448699027884706</v>
      </c>
      <c r="DI84" s="3">
        <f t="shared" si="166"/>
        <v>17.492622091452667</v>
      </c>
      <c r="DJ84" s="3">
        <f t="shared" si="167"/>
        <v>21.992829370142132</v>
      </c>
      <c r="DK84" s="3">
        <f t="shared" si="168"/>
        <v>25.899028657659724</v>
      </c>
      <c r="DL84" s="3">
        <f t="shared" si="169"/>
        <v>29.201321728899448</v>
      </c>
      <c r="DM84" s="3">
        <f t="shared" si="170"/>
        <v>31.916016511688269</v>
      </c>
      <c r="DN84" s="3">
        <f t="shared" si="171"/>
        <v>34.074281920032909</v>
      </c>
      <c r="DO84" s="3">
        <f t="shared" si="172"/>
        <v>35.713973914834348</v>
      </c>
      <c r="DP84" s="3">
        <f t="shared" si="173"/>
        <v>36.87407850667163</v>
      </c>
      <c r="DQ84" s="3">
        <f t="shared" si="174"/>
        <v>37.591024200441858</v>
      </c>
      <c r="DR84" s="3">
        <f t="shared" si="175"/>
        <v>37.896216817306382</v>
      </c>
      <c r="DS84" s="3">
        <f t="shared" si="176"/>
        <v>37.814334336216199</v>
      </c>
      <c r="DT84" s="3">
        <f t="shared" si="177"/>
        <v>37.362099139105929</v>
      </c>
      <c r="DU84" s="3">
        <f t="shared" si="178"/>
        <v>36.547394677405094</v>
      </c>
      <c r="DV84" s="3">
        <f t="shared" si="179"/>
        <v>35.368717662430257</v>
      </c>
      <c r="DW84" s="3">
        <f t="shared" si="180"/>
        <v>33.815071725858509</v>
      </c>
      <c r="DX84" s="3">
        <f t="shared" si="181"/>
        <v>31.86653316814748</v>
      </c>
      <c r="DY84" s="3">
        <f t="shared" si="182"/>
        <v>29.495869302678535</v>
      </c>
      <c r="DZ84" s="3">
        <f t="shared" si="183"/>
        <v>26.671766926441659</v>
      </c>
      <c r="EA84" s="3">
        <f t="shared" si="184"/>
        <v>23.364401179150338</v>
      </c>
      <c r="EB84" s="3">
        <f t="shared" si="185"/>
        <v>19.554140969850462</v>
      </c>
      <c r="EC84" s="3">
        <f t="shared" si="186"/>
        <v>15.243912133388067</v>
      </c>
      <c r="ED84" s="3">
        <f t="shared" si="187"/>
        <v>10.474689219820355</v>
      </c>
      <c r="EE84" s="3">
        <f t="shared" si="188"/>
        <v>5.3411302310634099</v>
      </c>
      <c r="EF84" s="3">
        <v>0</v>
      </c>
    </row>
    <row r="85" spans="7:136" x14ac:dyDescent="0.3">
      <c r="G85" s="13"/>
      <c r="H85" s="3">
        <v>0</v>
      </c>
      <c r="I85" s="3">
        <f t="shared" si="189"/>
        <v>7.7417626176087113</v>
      </c>
      <c r="J85" s="3">
        <f t="shared" si="190"/>
        <v>13.866317716773207</v>
      </c>
      <c r="K85" s="3">
        <f t="shared" si="191"/>
        <v>19.547074840478881</v>
      </c>
      <c r="L85" s="3">
        <f t="shared" si="192"/>
        <v>24.66434802326188</v>
      </c>
      <c r="M85" s="3">
        <f t="shared" si="193"/>
        <v>29.150322202391894</v>
      </c>
      <c r="N85" s="3">
        <f t="shared" si="194"/>
        <v>32.978362923030097</v>
      </c>
      <c r="O85" s="3">
        <f t="shared" si="195"/>
        <v>36.15115821399305</v>
      </c>
      <c r="P85" s="3">
        <f t="shared" si="196"/>
        <v>38.690267616019717</v>
      </c>
      <c r="Q85" s="3">
        <f t="shared" si="197"/>
        <v>40.627868446126655</v>
      </c>
      <c r="R85" s="3">
        <f t="shared" si="198"/>
        <v>42.000599961445658</v>
      </c>
      <c r="S85" s="3">
        <f t="shared" si="199"/>
        <v>42.845085128809139</v>
      </c>
      <c r="T85" s="3">
        <f t="shared" si="200"/>
        <v>43.194682188922272</v>
      </c>
      <c r="U85" s="3">
        <f t="shared" si="201"/>
        <v>43.077111922141839</v>
      </c>
      <c r="V85" s="3">
        <f t="shared" si="202"/>
        <v>42.512732732015145</v>
      </c>
      <c r="W85" s="3">
        <f t="shared" si="203"/>
        <v>41.513358301459334</v>
      </c>
      <c r="X85" s="3">
        <f t="shared" si="204"/>
        <v>40.081624157260812</v>
      </c>
      <c r="Y85" s="3">
        <f t="shared" si="205"/>
        <v>38.211015632932714</v>
      </c>
      <c r="Z85" s="3">
        <f t="shared" si="206"/>
        <v>35.886779437198044</v>
      </c>
      <c r="AA85" s="3">
        <f t="shared" si="207"/>
        <v>33.088058647701011</v>
      </c>
      <c r="AB85" s="3">
        <f t="shared" si="208"/>
        <v>29.791705817960558</v>
      </c>
      <c r="AC85" s="3">
        <f t="shared" si="209"/>
        <v>25.978298771239782</v>
      </c>
      <c r="AD85" s="3">
        <f t="shared" si="210"/>
        <v>21.640808917714029</v>
      </c>
      <c r="AE85" s="3">
        <f t="shared" si="211"/>
        <v>16.795963490996144</v>
      </c>
      <c r="AF85" s="3">
        <f t="shared" si="212"/>
        <v>11.497305565874207</v>
      </c>
      <c r="AG85" s="3">
        <f t="shared" si="213"/>
        <v>5.8469529970605816</v>
      </c>
      <c r="AH85" s="3">
        <v>0</v>
      </c>
      <c r="AI85"/>
      <c r="AJ85"/>
      <c r="AK85"/>
      <c r="AL85"/>
      <c r="AO85" s="19"/>
      <c r="AP85" s="3">
        <f t="shared" si="111"/>
        <v>0</v>
      </c>
      <c r="AQ85" s="3">
        <f t="shared" si="112"/>
        <v>-27534371.284246914</v>
      </c>
      <c r="AR85" s="3">
        <f t="shared" si="113"/>
        <v>-49345612.788930729</v>
      </c>
      <c r="AS85" s="3">
        <f t="shared" si="114"/>
        <v>-69612128.260878459</v>
      </c>
      <c r="AT85" s="3">
        <f t="shared" si="115"/>
        <v>-87901538.5169404</v>
      </c>
      <c r="AU85" s="3">
        <f t="shared" si="116"/>
        <v>-103961063.05089356</v>
      </c>
      <c r="AV85" s="3">
        <f t="shared" si="117"/>
        <v>-117684248.4629595</v>
      </c>
      <c r="AW85" s="3">
        <f t="shared" si="118"/>
        <v>-129071095.41803129</v>
      </c>
      <c r="AX85" s="3">
        <f t="shared" si="119"/>
        <v>-138191515.10607004</v>
      </c>
      <c r="AY85" s="3">
        <f t="shared" si="120"/>
        <v>-145155727.7258856</v>
      </c>
      <c r="AZ85" s="3">
        <f t="shared" si="121"/>
        <v>-150091794.4913058</v>
      </c>
      <c r="BA85" s="3">
        <f t="shared" si="122"/>
        <v>-153129083.34077603</v>
      </c>
      <c r="BB85" s="3">
        <f t="shared" si="123"/>
        <v>-154386204.86034608</v>
      </c>
      <c r="BC85" s="3">
        <f t="shared" si="124"/>
        <v>-153962199.67575261</v>
      </c>
      <c r="BD85" s="3">
        <f t="shared" si="125"/>
        <v>-151930170.16054672</v>
      </c>
      <c r="BE85" s="3">
        <f t="shared" si="126"/>
        <v>-148332976.76693711</v>
      </c>
      <c r="BF85" s="3">
        <f t="shared" si="127"/>
        <v>-143181020.73339665</v>
      </c>
      <c r="BG85" s="3">
        <f t="shared" si="128"/>
        <v>-136452520.51921585</v>
      </c>
      <c r="BH85" s="3">
        <f t="shared" si="129"/>
        <v>-128097082.82139026</v>
      </c>
      <c r="BI85" s="3">
        <f t="shared" si="130"/>
        <v>-118043775.31619513</v>
      </c>
      <c r="BJ85" s="3">
        <f t="shared" si="131"/>
        <v>-106215272.92908646</v>
      </c>
      <c r="BK85" s="3">
        <f t="shared" si="132"/>
        <v>-92549797.857532442</v>
      </c>
      <c r="BL85" s="3">
        <f t="shared" si="133"/>
        <v>-77032124.721873015</v>
      </c>
      <c r="BM85" s="3">
        <f t="shared" si="134"/>
        <v>-59733200.912862241</v>
      </c>
      <c r="BN85" s="3">
        <f t="shared" si="135"/>
        <v>-40853981.487379394</v>
      </c>
      <c r="BO85" s="3">
        <f t="shared" si="136"/>
        <v>-20762044.175000802</v>
      </c>
      <c r="BP85" s="3">
        <f t="shared" si="137"/>
        <v>0</v>
      </c>
      <c r="BW85" s="19"/>
      <c r="BX85" s="3">
        <v>1</v>
      </c>
      <c r="BY85" s="3">
        <f t="shared" si="138"/>
        <v>0.17990274775391865</v>
      </c>
      <c r="BZ85" s="3">
        <f t="shared" si="139"/>
        <v>0.17990274775391865</v>
      </c>
      <c r="CA85" s="3">
        <f t="shared" si="140"/>
        <v>0.17990274775391865</v>
      </c>
      <c r="CB85" s="3">
        <f t="shared" si="141"/>
        <v>0.17990274775391865</v>
      </c>
      <c r="CC85" s="3">
        <f t="shared" si="142"/>
        <v>0.17990274775391865</v>
      </c>
      <c r="CD85" s="3">
        <f t="shared" si="143"/>
        <v>0.17990274775391865</v>
      </c>
      <c r="CE85" s="3">
        <f t="shared" si="144"/>
        <v>0.17990274775391865</v>
      </c>
      <c r="CF85" s="3">
        <f t="shared" si="145"/>
        <v>0.17990274775391865</v>
      </c>
      <c r="CG85" s="3">
        <f t="shared" si="146"/>
        <v>0.17990274775391865</v>
      </c>
      <c r="CH85" s="3">
        <f t="shared" si="147"/>
        <v>0.17990274775391865</v>
      </c>
      <c r="CI85" s="3">
        <f t="shared" si="148"/>
        <v>0.17990274775391865</v>
      </c>
      <c r="CJ85" s="3">
        <f t="shared" si="149"/>
        <v>0.17990274775391865</v>
      </c>
      <c r="CK85" s="3">
        <f t="shared" si="150"/>
        <v>0.17990274775391865</v>
      </c>
      <c r="CL85" s="3">
        <f t="shared" si="151"/>
        <v>0.17990274775391865</v>
      </c>
      <c r="CM85" s="3">
        <f t="shared" si="152"/>
        <v>0.17990274775391865</v>
      </c>
      <c r="CN85" s="3">
        <f t="shared" si="153"/>
        <v>0.17990274775391865</v>
      </c>
      <c r="CO85" s="3">
        <f t="shared" si="154"/>
        <v>0.17990274775391865</v>
      </c>
      <c r="CP85" s="3">
        <f t="shared" si="155"/>
        <v>0.17990274775391865</v>
      </c>
      <c r="CQ85" s="3">
        <f t="shared" si="156"/>
        <v>0.17990274775391865</v>
      </c>
      <c r="CR85" s="3">
        <f t="shared" si="157"/>
        <v>0.17990274775391865</v>
      </c>
      <c r="CS85" s="3">
        <f t="shared" si="158"/>
        <v>0.17990274775391865</v>
      </c>
      <c r="CT85" s="3">
        <f t="shared" si="159"/>
        <v>0.17990274775391865</v>
      </c>
      <c r="CU85" s="3">
        <f t="shared" si="160"/>
        <v>0.17990274775391865</v>
      </c>
      <c r="CV85" s="3">
        <f t="shared" si="161"/>
        <v>0.17990274775391865</v>
      </c>
      <c r="CW85" s="3">
        <f t="shared" si="162"/>
        <v>0.17990274775391865</v>
      </c>
      <c r="CX85" s="3">
        <f t="shared" si="163"/>
        <v>0.17990274775391865</v>
      </c>
      <c r="DE85" s="19"/>
      <c r="DF85" s="3">
        <v>0</v>
      </c>
      <c r="DG85" s="3">
        <f t="shared" si="164"/>
        <v>6.1580033946272321</v>
      </c>
      <c r="DH85" s="3">
        <f t="shared" si="165"/>
        <v>11.040685588703338</v>
      </c>
      <c r="DI85" s="3">
        <f t="shared" si="166"/>
        <v>15.58446085398897</v>
      </c>
      <c r="DJ85" s="3">
        <f t="shared" si="167"/>
        <v>19.692504837016255</v>
      </c>
      <c r="DK85" s="3">
        <f t="shared" si="168"/>
        <v>23.306679376856618</v>
      </c>
      <c r="DL85" s="3">
        <f t="shared" si="169"/>
        <v>26.400821862022177</v>
      </c>
      <c r="DM85" s="3">
        <f t="shared" si="170"/>
        <v>28.972433905315551</v>
      </c>
      <c r="DN85" s="3">
        <f t="shared" si="171"/>
        <v>31.03490309492533</v>
      </c>
      <c r="DO85" s="3">
        <f t="shared" si="172"/>
        <v>32.611084104905842</v>
      </c>
      <c r="DP85" s="3">
        <f t="shared" si="173"/>
        <v>33.728336991900875</v>
      </c>
      <c r="DQ85" s="3">
        <f t="shared" si="174"/>
        <v>34.41481035253981</v>
      </c>
      <c r="DR85" s="3">
        <f t="shared" si="175"/>
        <v>34.696685897853371</v>
      </c>
      <c r="DS85" s="3">
        <f t="shared" si="176"/>
        <v>34.596141813022697</v>
      </c>
      <c r="DT85" s="3">
        <f t="shared" si="177"/>
        <v>34.129872867693777</v>
      </c>
      <c r="DU85" s="3">
        <f t="shared" si="178"/>
        <v>33.308092448309345</v>
      </c>
      <c r="DV85" s="3">
        <f t="shared" si="179"/>
        <v>32.134025173138888</v>
      </c>
      <c r="DW85" s="3">
        <f t="shared" si="180"/>
        <v>30.603979303254906</v>
      </c>
      <c r="DX85" s="3">
        <f t="shared" si="181"/>
        <v>28.708169483877828</v>
      </c>
      <c r="DY85" s="3">
        <f t="shared" si="182"/>
        <v>26.432542052407072</v>
      </c>
      <c r="DZ85" s="3">
        <f t="shared" si="183"/>
        <v>23.761924195445339</v>
      </c>
      <c r="EA85" s="3">
        <f t="shared" si="184"/>
        <v>20.68483647458671</v>
      </c>
      <c r="EB85" s="3">
        <f t="shared" si="185"/>
        <v>17.200195466120491</v>
      </c>
      <c r="EC85" s="3">
        <f t="shared" si="186"/>
        <v>13.325751372761605</v>
      </c>
      <c r="ED85" s="3">
        <f t="shared" si="187"/>
        <v>9.1072652901745901</v>
      </c>
      <c r="EE85" s="3">
        <f t="shared" si="188"/>
        <v>4.6259771216084973</v>
      </c>
      <c r="EF85" s="3">
        <v>0</v>
      </c>
    </row>
    <row r="86" spans="7:136" x14ac:dyDescent="0.3">
      <c r="G86" s="13"/>
      <c r="H86" s="3">
        <v>0</v>
      </c>
      <c r="I86" s="3">
        <f t="shared" si="189"/>
        <v>6.9333726533138043</v>
      </c>
      <c r="J86" s="3">
        <f t="shared" si="190"/>
        <v>12.449984606593825</v>
      </c>
      <c r="K86" s="3">
        <f t="shared" si="191"/>
        <v>17.612425580785878</v>
      </c>
      <c r="L86" s="3">
        <f t="shared" si="192"/>
        <v>22.311470735292996</v>
      </c>
      <c r="M86" s="3">
        <f t="shared" si="193"/>
        <v>26.475136337768838</v>
      </c>
      <c r="N86" s="3">
        <f t="shared" si="194"/>
        <v>30.064121848791721</v>
      </c>
      <c r="O86" s="3">
        <f t="shared" si="195"/>
        <v>33.065022727238038</v>
      </c>
      <c r="P86" s="3">
        <f t="shared" si="196"/>
        <v>35.483290398217989</v>
      </c>
      <c r="Q86" s="3">
        <f t="shared" si="197"/>
        <v>37.336910454143698</v>
      </c>
      <c r="R86" s="3">
        <f t="shared" si="198"/>
        <v>38.651125464903167</v>
      </c>
      <c r="S86" s="3">
        <f t="shared" si="199"/>
        <v>39.454196693921197</v>
      </c>
      <c r="T86" s="3">
        <f t="shared" si="200"/>
        <v>39.774073480432953</v>
      </c>
      <c r="U86" s="3">
        <f t="shared" si="201"/>
        <v>39.635827755088677</v>
      </c>
      <c r="V86" s="3">
        <f t="shared" si="202"/>
        <v>39.059753012910342</v>
      </c>
      <c r="W86" s="3">
        <f t="shared" si="203"/>
        <v>38.060088486468615</v>
      </c>
      <c r="X86" s="3">
        <f t="shared" si="204"/>
        <v>36.644395133693635</v>
      </c>
      <c r="Y86" s="3">
        <f t="shared" si="205"/>
        <v>34.813675142397372</v>
      </c>
      <c r="Z86" s="3">
        <f t="shared" si="206"/>
        <v>32.563388413839114</v>
      </c>
      <c r="AA86" s="3">
        <f t="shared" si="207"/>
        <v>29.885571466763047</v>
      </c>
      <c r="AB86" s="3">
        <f t="shared" si="208"/>
        <v>26.772288711442958</v>
      </c>
      <c r="AC86" s="3">
        <f t="shared" si="209"/>
        <v>23.220605344957242</v>
      </c>
      <c r="AD86" s="3">
        <f t="shared" si="210"/>
        <v>19.239098480980214</v>
      </c>
      <c r="AE86" s="3">
        <f t="shared" si="211"/>
        <v>14.855520395103268</v>
      </c>
      <c r="AF86" s="3">
        <f t="shared" si="212"/>
        <v>10.124487336528512</v>
      </c>
      <c r="AG86" s="3">
        <f t="shared" si="213"/>
        <v>5.1329553917997384</v>
      </c>
      <c r="AH86" s="3">
        <v>0</v>
      </c>
      <c r="AI86"/>
      <c r="AJ86"/>
      <c r="AK86"/>
      <c r="AL86"/>
      <c r="AO86" s="19"/>
      <c r="AP86" s="3">
        <f t="shared" si="111"/>
        <v>0</v>
      </c>
      <c r="AQ86" s="3">
        <f t="shared" si="112"/>
        <v>-24691311.999074869</v>
      </c>
      <c r="AR86" s="3">
        <f t="shared" si="113"/>
        <v>-44353089.422267891</v>
      </c>
      <c r="AS86" s="3">
        <f t="shared" si="114"/>
        <v>-62774154.050833665</v>
      </c>
      <c r="AT86" s="3">
        <f t="shared" si="115"/>
        <v>-79563265.989847973</v>
      </c>
      <c r="AU86" s="3">
        <f t="shared" si="116"/>
        <v>-94457903.727576762</v>
      </c>
      <c r="AV86" s="3">
        <f t="shared" si="117"/>
        <v>-107310780.05944631</v>
      </c>
      <c r="AW86" s="3">
        <f t="shared" si="118"/>
        <v>-118067411.2198731</v>
      </c>
      <c r="AX86" s="3">
        <f t="shared" si="119"/>
        <v>-126741852.10441157</v>
      </c>
      <c r="AY86" s="3">
        <f t="shared" si="120"/>
        <v>-133394362.28118466</v>
      </c>
      <c r="AZ86" s="3">
        <f t="shared" si="121"/>
        <v>-138112457.29664412</v>
      </c>
      <c r="BA86" s="3">
        <f t="shared" si="122"/>
        <v>-140995529.41886726</v>
      </c>
      <c r="BB86" s="3">
        <f t="shared" si="123"/>
        <v>-142142690.36752602</v>
      </c>
      <c r="BC86" s="3">
        <f t="shared" si="124"/>
        <v>-141643389.5233708</v>
      </c>
      <c r="BD86" s="3">
        <f t="shared" si="125"/>
        <v>-139570476.35565239</v>
      </c>
      <c r="BE86" s="3">
        <f t="shared" si="126"/>
        <v>-135975578.1954805</v>
      </c>
      <c r="BF86" s="3">
        <f t="shared" si="127"/>
        <v>-130886892.26057521</v>
      </c>
      <c r="BG86" s="3">
        <f t="shared" si="128"/>
        <v>-124309718.46387552</v>
      </c>
      <c r="BH86" s="3">
        <f t="shared" si="129"/>
        <v>-116230271.50857796</v>
      </c>
      <c r="BI86" s="3">
        <f t="shared" si="130"/>
        <v>-106623476.96945487</v>
      </c>
      <c r="BJ86" s="3">
        <f t="shared" si="131"/>
        <v>-95465505.201936126</v>
      </c>
      <c r="BK86" s="3">
        <f t="shared" si="132"/>
        <v>-82751587.095513463</v>
      </c>
      <c r="BL86" s="3">
        <f t="shared" si="133"/>
        <v>-68518949.998309046</v>
      </c>
      <c r="BM86" s="3">
        <f t="shared" si="134"/>
        <v>-52873188.398249641</v>
      </c>
      <c r="BN86" s="3">
        <f t="shared" si="135"/>
        <v>-36013747.125626475</v>
      </c>
      <c r="BO86" s="3">
        <f t="shared" si="136"/>
        <v>-18250517.842723507</v>
      </c>
      <c r="BP86" s="3">
        <f t="shared" si="137"/>
        <v>0</v>
      </c>
      <c r="BW86" s="19"/>
      <c r="BX86" s="3">
        <v>1</v>
      </c>
      <c r="BY86" s="3">
        <f t="shared" si="138"/>
        <v>0.17990274775391865</v>
      </c>
      <c r="BZ86" s="3">
        <f t="shared" si="139"/>
        <v>0.17990274775391865</v>
      </c>
      <c r="CA86" s="3">
        <f t="shared" si="140"/>
        <v>0.17990274775391865</v>
      </c>
      <c r="CB86" s="3">
        <f t="shared" si="141"/>
        <v>0.17990274775391865</v>
      </c>
      <c r="CC86" s="3">
        <f t="shared" si="142"/>
        <v>0.17990274775391865</v>
      </c>
      <c r="CD86" s="3">
        <f t="shared" si="143"/>
        <v>0.17990274775391865</v>
      </c>
      <c r="CE86" s="3">
        <f t="shared" si="144"/>
        <v>0.17990274775391865</v>
      </c>
      <c r="CF86" s="3">
        <f t="shared" si="145"/>
        <v>0.17990274775391865</v>
      </c>
      <c r="CG86" s="3">
        <f t="shared" si="146"/>
        <v>0.17990274775391865</v>
      </c>
      <c r="CH86" s="3">
        <f t="shared" si="147"/>
        <v>0.17990274775391865</v>
      </c>
      <c r="CI86" s="3">
        <f t="shared" si="148"/>
        <v>0.17990274775391865</v>
      </c>
      <c r="CJ86" s="3">
        <f t="shared" si="149"/>
        <v>0.17990274775391865</v>
      </c>
      <c r="CK86" s="3">
        <f t="shared" si="150"/>
        <v>0.17990274775391865</v>
      </c>
      <c r="CL86" s="3">
        <f t="shared" si="151"/>
        <v>0.17990274775391865</v>
      </c>
      <c r="CM86" s="3">
        <f t="shared" si="152"/>
        <v>0.17990274775391865</v>
      </c>
      <c r="CN86" s="3">
        <f t="shared" si="153"/>
        <v>0.17990274775391865</v>
      </c>
      <c r="CO86" s="3">
        <f t="shared" si="154"/>
        <v>0.17990274775391865</v>
      </c>
      <c r="CP86" s="3">
        <f t="shared" si="155"/>
        <v>0.17990274775391865</v>
      </c>
      <c r="CQ86" s="3">
        <f t="shared" si="156"/>
        <v>0.17990274775391865</v>
      </c>
      <c r="CR86" s="3">
        <f t="shared" si="157"/>
        <v>0.17990274775391865</v>
      </c>
      <c r="CS86" s="3">
        <f t="shared" si="158"/>
        <v>0.17990274775391865</v>
      </c>
      <c r="CT86" s="3">
        <f t="shared" si="159"/>
        <v>0.17990274775391865</v>
      </c>
      <c r="CU86" s="3">
        <f t="shared" si="160"/>
        <v>0.17990274775391865</v>
      </c>
      <c r="CV86" s="3">
        <f t="shared" si="161"/>
        <v>0.17990274775391865</v>
      </c>
      <c r="CW86" s="3">
        <f t="shared" si="162"/>
        <v>0.17990274775391865</v>
      </c>
      <c r="CX86" s="3">
        <f t="shared" si="163"/>
        <v>0.17990274775391865</v>
      </c>
      <c r="DE86" s="19"/>
      <c r="DF86" s="3">
        <v>0</v>
      </c>
      <c r="DG86" s="3">
        <f t="shared" si="164"/>
        <v>5.5406082859474273</v>
      </c>
      <c r="DH86" s="3">
        <f t="shared" si="165"/>
        <v>9.9553959481174807</v>
      </c>
      <c r="DI86" s="3">
        <f t="shared" si="166"/>
        <v>14.095853106432235</v>
      </c>
      <c r="DJ86" s="3">
        <f t="shared" si="167"/>
        <v>17.874286754349253</v>
      </c>
      <c r="DK86" s="3">
        <f t="shared" si="168"/>
        <v>21.230913275646476</v>
      </c>
      <c r="DL86" s="3">
        <f t="shared" si="169"/>
        <v>24.131223742512653</v>
      </c>
      <c r="DM86" s="3">
        <f t="shared" si="170"/>
        <v>26.561330030054041</v>
      </c>
      <c r="DN86" s="3">
        <f t="shared" si="171"/>
        <v>28.522804942761589</v>
      </c>
      <c r="DO86" s="3">
        <f t="shared" si="172"/>
        <v>30.027845285300785</v>
      </c>
      <c r="DP86" s="3">
        <f t="shared" si="173"/>
        <v>31.095102124525962</v>
      </c>
      <c r="DQ86" s="3">
        <f t="shared" si="174"/>
        <v>31.746248151497877</v>
      </c>
      <c r="DR86" s="3">
        <f t="shared" si="175"/>
        <v>32.00323146628859</v>
      </c>
      <c r="DS86" s="3">
        <f t="shared" si="176"/>
        <v>31.886136954992274</v>
      </c>
      <c r="DT86" s="3">
        <f t="shared" si="177"/>
        <v>31.411595579892857</v>
      </c>
      <c r="DU86" s="3">
        <f t="shared" si="178"/>
        <v>30.591721259543135</v>
      </c>
      <c r="DV86" s="3">
        <f t="shared" si="179"/>
        <v>29.433600813362574</v>
      </c>
      <c r="DW86" s="3">
        <f t="shared" si="180"/>
        <v>27.939408435564832</v>
      </c>
      <c r="DX86" s="3">
        <f t="shared" si="181"/>
        <v>26.107258185048362</v>
      </c>
      <c r="DY86" s="3">
        <f t="shared" si="182"/>
        <v>23.932938798198826</v>
      </c>
      <c r="DZ86" s="3">
        <f t="shared" si="183"/>
        <v>21.412678974515448</v>
      </c>
      <c r="EA86" s="3">
        <f t="shared" si="184"/>
        <v>18.547038014038957</v>
      </c>
      <c r="EB86" s="3">
        <f t="shared" si="185"/>
        <v>15.345857493065955</v>
      </c>
      <c r="EC86" s="3">
        <f t="shared" si="186"/>
        <v>11.833880411898562</v>
      </c>
      <c r="ED86" s="3">
        <f t="shared" si="187"/>
        <v>8.0560904734613192</v>
      </c>
      <c r="EE86" s="3">
        <f t="shared" si="188"/>
        <v>4.0810724816405299</v>
      </c>
      <c r="EF86" s="3">
        <v>0</v>
      </c>
    </row>
    <row r="87" spans="7:136" x14ac:dyDescent="0.3">
      <c r="G87" s="13"/>
      <c r="H87" s="3">
        <v>0</v>
      </c>
      <c r="I87" s="3">
        <f t="shared" si="189"/>
        <v>6.3183960613139831</v>
      </c>
      <c r="J87" s="3">
        <f t="shared" si="190"/>
        <v>11.364419222700146</v>
      </c>
      <c r="K87" s="3">
        <f t="shared" si="191"/>
        <v>16.114585474361611</v>
      </c>
      <c r="L87" s="3">
        <f t="shared" si="192"/>
        <v>20.469444639490938</v>
      </c>
      <c r="M87" s="3">
        <f t="shared" si="193"/>
        <v>24.357266161843558</v>
      </c>
      <c r="N87" s="3">
        <f t="shared" si="194"/>
        <v>27.732623504878653</v>
      </c>
      <c r="O87" s="3">
        <f t="shared" si="195"/>
        <v>30.572675719541628</v>
      </c>
      <c r="P87" s="3">
        <f t="shared" si="196"/>
        <v>32.872501775682032</v>
      </c>
      <c r="Q87" s="3">
        <f t="shared" si="197"/>
        <v>34.640347454325898</v>
      </c>
      <c r="R87" s="3">
        <f t="shared" si="198"/>
        <v>35.893241534165973</v>
      </c>
      <c r="S87" s="3">
        <f t="shared" si="199"/>
        <v>36.65317697311459</v>
      </c>
      <c r="T87" s="3">
        <f t="shared" si="200"/>
        <v>36.943913803351698</v>
      </c>
      <c r="U87" s="3">
        <f t="shared" si="201"/>
        <v>36.788405144671472</v>
      </c>
      <c r="V87" s="3">
        <f t="shared" si="202"/>
        <v>36.206841647655068</v>
      </c>
      <c r="W87" s="3">
        <f t="shared" si="203"/>
        <v>35.215328612453987</v>
      </c>
      <c r="X87" s="3">
        <f t="shared" si="204"/>
        <v>33.825239120269536</v>
      </c>
      <c r="Y87" s="3">
        <f t="shared" si="205"/>
        <v>32.043316690847689</v>
      </c>
      <c r="Z87" s="3">
        <f t="shared" si="206"/>
        <v>29.872624811916033</v>
      </c>
      <c r="AA87" s="3">
        <f t="shared" si="207"/>
        <v>27.314448187504631</v>
      </c>
      <c r="AB87" s="3">
        <f t="shared" si="208"/>
        <v>24.371225120135257</v>
      </c>
      <c r="AC87" s="3">
        <f t="shared" si="209"/>
        <v>21.050505634363457</v>
      </c>
      <c r="AD87" s="3">
        <f t="shared" si="210"/>
        <v>17.369749292860835</v>
      </c>
      <c r="AE87" s="3">
        <f t="shared" si="211"/>
        <v>13.361461671860926</v>
      </c>
      <c r="AF87" s="3">
        <f t="shared" si="212"/>
        <v>9.0777044617604385</v>
      </c>
      <c r="AG87" s="3">
        <f t="shared" si="213"/>
        <v>4.5924671041021909</v>
      </c>
      <c r="AH87" s="3">
        <v>0</v>
      </c>
      <c r="AI87"/>
      <c r="AJ87"/>
      <c r="AK87"/>
      <c r="AL87"/>
      <c r="AO87" s="19"/>
      <c r="AP87" s="3">
        <f t="shared" si="111"/>
        <v>0</v>
      </c>
      <c r="AQ87" s="3">
        <f t="shared" si="112"/>
        <v>-22523084.371475831</v>
      </c>
      <c r="AR87" s="3">
        <f t="shared" si="113"/>
        <v>-40519880.068842225</v>
      </c>
      <c r="AS87" s="3">
        <f t="shared" si="114"/>
        <v>-57474966.654902086</v>
      </c>
      <c r="AT87" s="3">
        <f t="shared" si="115"/>
        <v>-73033330.359792337</v>
      </c>
      <c r="AU87" s="3">
        <f t="shared" si="116"/>
        <v>-86935950.473265454</v>
      </c>
      <c r="AV87" s="3">
        <f t="shared" si="117"/>
        <v>-99016278.41466707</v>
      </c>
      <c r="AW87" s="3">
        <f t="shared" si="118"/>
        <v>-109188172.3879187</v>
      </c>
      <c r="AX87" s="3">
        <f t="shared" si="119"/>
        <v>-117429983.69394633</v>
      </c>
      <c r="AY87" s="3">
        <f t="shared" si="120"/>
        <v>-123767931.60046959</v>
      </c>
      <c r="AZ87" s="3">
        <f t="shared" si="121"/>
        <v>-128260527.53445725</v>
      </c>
      <c r="BA87" s="3">
        <f t="shared" si="122"/>
        <v>-130984868.46760955</v>
      </c>
      <c r="BB87" s="3">
        <f t="shared" si="123"/>
        <v>-132025091.05173555</v>
      </c>
      <c r="BC87" s="3">
        <f t="shared" si="124"/>
        <v>-131463048.59058373</v>
      </c>
      <c r="BD87" s="3">
        <f t="shared" si="125"/>
        <v>-129371227.03466536</v>
      </c>
      <c r="BE87" s="3">
        <f t="shared" si="126"/>
        <v>-125807967.63126011</v>
      </c>
      <c r="BF87" s="3">
        <f t="shared" si="127"/>
        <v>-120815156.76305395</v>
      </c>
      <c r="BG87" s="3">
        <f t="shared" si="128"/>
        <v>-114418641.80497116</v>
      </c>
      <c r="BH87" s="3">
        <f t="shared" si="129"/>
        <v>-106631705.16295557</v>
      </c>
      <c r="BI87" s="3">
        <f t="shared" si="130"/>
        <v>-97461937.700642288</v>
      </c>
      <c r="BJ87" s="3">
        <f t="shared" si="131"/>
        <v>-86921735.575304762</v>
      </c>
      <c r="BK87" s="3">
        <f t="shared" si="132"/>
        <v>-75042307.419538543</v>
      </c>
      <c r="BL87" s="3">
        <f t="shared" si="133"/>
        <v>-61890400.897096306</v>
      </c>
      <c r="BM87" s="3">
        <f t="shared" si="134"/>
        <v>-47585828.138015956</v>
      </c>
      <c r="BN87" s="3">
        <f t="shared" si="135"/>
        <v>-32316290.050876223</v>
      </c>
      <c r="BO87" s="3">
        <f t="shared" si="136"/>
        <v>-16344287.587943157</v>
      </c>
      <c r="BP87" s="3">
        <f t="shared" si="137"/>
        <v>0</v>
      </c>
      <c r="BW87" s="19"/>
      <c r="BX87" s="3">
        <v>1</v>
      </c>
      <c r="BY87" s="3">
        <f t="shared" si="138"/>
        <v>0.17990274775391865</v>
      </c>
      <c r="BZ87" s="3">
        <f t="shared" si="139"/>
        <v>0.17990274775391865</v>
      </c>
      <c r="CA87" s="3">
        <f t="shared" si="140"/>
        <v>0.17990274775391865</v>
      </c>
      <c r="CB87" s="3">
        <f t="shared" si="141"/>
        <v>0.17990274775391865</v>
      </c>
      <c r="CC87" s="3">
        <f t="shared" si="142"/>
        <v>0.17990274775391865</v>
      </c>
      <c r="CD87" s="3">
        <f t="shared" si="143"/>
        <v>0.17990274775391865</v>
      </c>
      <c r="CE87" s="3">
        <f t="shared" si="144"/>
        <v>0.17990274775391865</v>
      </c>
      <c r="CF87" s="3">
        <f t="shared" si="145"/>
        <v>0.17990274775391865</v>
      </c>
      <c r="CG87" s="3">
        <f t="shared" si="146"/>
        <v>0.17990274775391865</v>
      </c>
      <c r="CH87" s="3">
        <f t="shared" si="147"/>
        <v>0.17990274775391865</v>
      </c>
      <c r="CI87" s="3">
        <f t="shared" si="148"/>
        <v>0.17990274775391865</v>
      </c>
      <c r="CJ87" s="3">
        <f t="shared" si="149"/>
        <v>0.17990274775391865</v>
      </c>
      <c r="CK87" s="3">
        <f t="shared" si="150"/>
        <v>0.17990274775391865</v>
      </c>
      <c r="CL87" s="3">
        <f t="shared" si="151"/>
        <v>0.17990274775391865</v>
      </c>
      <c r="CM87" s="3">
        <f t="shared" si="152"/>
        <v>0.17990274775391865</v>
      </c>
      <c r="CN87" s="3">
        <f t="shared" si="153"/>
        <v>0.17990274775391865</v>
      </c>
      <c r="CO87" s="3">
        <f t="shared" si="154"/>
        <v>0.17990274775391865</v>
      </c>
      <c r="CP87" s="3">
        <f t="shared" si="155"/>
        <v>0.17990274775391865</v>
      </c>
      <c r="CQ87" s="3">
        <f t="shared" si="156"/>
        <v>0.17990274775391865</v>
      </c>
      <c r="CR87" s="3">
        <f t="shared" si="157"/>
        <v>0.17990274775391865</v>
      </c>
      <c r="CS87" s="3">
        <f t="shared" si="158"/>
        <v>0.17990274775391865</v>
      </c>
      <c r="CT87" s="3">
        <f t="shared" si="159"/>
        <v>0.17990274775391865</v>
      </c>
      <c r="CU87" s="3">
        <f t="shared" si="160"/>
        <v>0.17990274775391865</v>
      </c>
      <c r="CV87" s="3">
        <f t="shared" si="161"/>
        <v>0.17990274775391865</v>
      </c>
      <c r="CW87" s="3">
        <f t="shared" si="162"/>
        <v>0.17990274775391865</v>
      </c>
      <c r="CX87" s="3">
        <f t="shared" si="163"/>
        <v>0.17990274775391865</v>
      </c>
      <c r="DE87" s="19"/>
      <c r="DF87" s="3">
        <v>0</v>
      </c>
      <c r="DG87" s="3">
        <f t="shared" si="164"/>
        <v>5.0710632697809519</v>
      </c>
      <c r="DH87" s="3">
        <f t="shared" si="165"/>
        <v>9.1246327824799263</v>
      </c>
      <c r="DI87" s="3">
        <f t="shared" si="166"/>
        <v>12.946061717766826</v>
      </c>
      <c r="DJ87" s="3">
        <f t="shared" si="167"/>
        <v>16.455549747780584</v>
      </c>
      <c r="DK87" s="3">
        <f t="shared" si="168"/>
        <v>19.594316387519324</v>
      </c>
      <c r="DL87" s="3">
        <f t="shared" si="169"/>
        <v>22.324005375472403</v>
      </c>
      <c r="DM87" s="3">
        <f t="shared" si="170"/>
        <v>24.624187276365735</v>
      </c>
      <c r="DN87" s="3">
        <f t="shared" si="171"/>
        <v>26.488960333692379</v>
      </c>
      <c r="DO87" s="3">
        <f t="shared" si="172"/>
        <v>27.923334670983436</v>
      </c>
      <c r="DP87" s="3">
        <f t="shared" si="173"/>
        <v>28.939797859248436</v>
      </c>
      <c r="DQ87" s="3">
        <f t="shared" si="174"/>
        <v>29.555258577454595</v>
      </c>
      <c r="DR87" s="3">
        <f t="shared" si="175"/>
        <v>29.788448694855546</v>
      </c>
      <c r="DS87" s="3">
        <f t="shared" si="176"/>
        <v>29.657810822029983</v>
      </c>
      <c r="DT87" s="3">
        <f t="shared" si="177"/>
        <v>29.179884754043094</v>
      </c>
      <c r="DU87" s="3">
        <f t="shared" si="178"/>
        <v>28.368214113981004</v>
      </c>
      <c r="DV87" s="3">
        <f t="shared" si="179"/>
        <v>27.232811745937727</v>
      </c>
      <c r="DW87" s="3">
        <f t="shared" si="180"/>
        <v>25.780240873318103</v>
      </c>
      <c r="DX87" s="3">
        <f t="shared" si="181"/>
        <v>24.014381760088259</v>
      </c>
      <c r="DY87" s="3">
        <f t="shared" si="182"/>
        <v>21.937951762437851</v>
      </c>
      <c r="DZ87" s="3">
        <f t="shared" si="183"/>
        <v>19.554816817285449</v>
      </c>
      <c r="EA87" s="3">
        <f t="shared" si="184"/>
        <v>16.87305492829632</v>
      </c>
      <c r="EB87" s="3">
        <f t="shared" si="185"/>
        <v>13.908582611824253</v>
      </c>
      <c r="EC87" s="3">
        <f t="shared" si="186"/>
        <v>10.688912733467468</v>
      </c>
      <c r="ED87" s="3">
        <f t="shared" si="187"/>
        <v>7.2562813703192059</v>
      </c>
      <c r="EE87" s="3">
        <f t="shared" si="188"/>
        <v>3.6690343250191257</v>
      </c>
      <c r="EF87" s="3">
        <v>0</v>
      </c>
    </row>
    <row r="88" spans="7:136" x14ac:dyDescent="0.3">
      <c r="G88" s="13"/>
      <c r="H88" s="3">
        <v>0</v>
      </c>
      <c r="I88" s="3">
        <f t="shared" si="189"/>
        <v>5.8569180082647447</v>
      </c>
      <c r="J88" s="3">
        <f t="shared" si="190"/>
        <v>10.545230791194912</v>
      </c>
      <c r="K88" s="3">
        <f t="shared" si="191"/>
        <v>14.975343878301363</v>
      </c>
      <c r="L88" s="3">
        <f t="shared" si="192"/>
        <v>19.05569224503687</v>
      </c>
      <c r="M88" s="3">
        <f t="shared" si="193"/>
        <v>22.716519239709999</v>
      </c>
      <c r="N88" s="3">
        <f t="shared" si="194"/>
        <v>25.909979706731484</v>
      </c>
      <c r="O88" s="3">
        <f t="shared" si="195"/>
        <v>28.608160402063007</v>
      </c>
      <c r="P88" s="3">
        <f t="shared" si="196"/>
        <v>30.799927288125055</v>
      </c>
      <c r="Q88" s="3">
        <f t="shared" si="197"/>
        <v>32.487294106139053</v>
      </c>
      <c r="R88" s="3">
        <f t="shared" si="198"/>
        <v>33.681772194380024</v>
      </c>
      <c r="S88" s="3">
        <f t="shared" si="199"/>
        <v>34.400976025989152</v>
      </c>
      <c r="T88" s="3">
        <f t="shared" si="200"/>
        <v>34.665637399359206</v>
      </c>
      <c r="U88" s="3">
        <f t="shared" si="201"/>
        <v>34.497114185248584</v>
      </c>
      <c r="V88" s="3">
        <f t="shared" si="202"/>
        <v>33.915450536667905</v>
      </c>
      <c r="W88" s="3">
        <f t="shared" si="203"/>
        <v>32.938039099234437</v>
      </c>
      <c r="X88" s="3">
        <f t="shared" si="204"/>
        <v>31.578940030415382</v>
      </c>
      <c r="Y88" s="3">
        <f t="shared" si="205"/>
        <v>29.848917295446938</v>
      </c>
      <c r="Z88" s="3">
        <f t="shared" si="206"/>
        <v>27.756251300527218</v>
      </c>
      <c r="AA88" s="3">
        <f t="shared" si="207"/>
        <v>25.308368567701738</v>
      </c>
      <c r="AB88" s="3">
        <f t="shared" si="208"/>
        <v>22.51428080609773</v>
      </c>
      <c r="AC88" s="3">
        <f t="shared" si="209"/>
        <v>19.387730988358832</v>
      </c>
      <c r="AD88" s="3">
        <f t="shared" si="210"/>
        <v>15.95078632574427</v>
      </c>
      <c r="AE88" s="3">
        <f t="shared" si="211"/>
        <v>12.237390131411289</v>
      </c>
      <c r="AF88" s="3">
        <f t="shared" si="212"/>
        <v>8.2961080828958771</v>
      </c>
      <c r="AG88" s="3">
        <f t="shared" si="213"/>
        <v>4.1910608193325567</v>
      </c>
      <c r="AH88" s="3">
        <v>0</v>
      </c>
      <c r="AI88"/>
      <c r="AJ88"/>
      <c r="AK88"/>
      <c r="AL88"/>
      <c r="AO88" s="19"/>
      <c r="AP88" s="3">
        <f t="shared" si="111"/>
        <v>0</v>
      </c>
      <c r="AQ88" s="3">
        <f t="shared" si="112"/>
        <v>-20893373.635482937</v>
      </c>
      <c r="AR88" s="3">
        <f t="shared" si="113"/>
        <v>-37623895.225641578</v>
      </c>
      <c r="AS88" s="3">
        <f t="shared" si="114"/>
        <v>-53441933.097068511</v>
      </c>
      <c r="AT88" s="3">
        <f t="shared" si="115"/>
        <v>-68020974.981893957</v>
      </c>
      <c r="AU88" s="3">
        <f t="shared" si="116"/>
        <v>-81110287.72730054</v>
      </c>
      <c r="AV88" s="3">
        <f t="shared" si="117"/>
        <v>-92536146.345503122</v>
      </c>
      <c r="AW88" s="3">
        <f t="shared" si="118"/>
        <v>-102195575.86279133</v>
      </c>
      <c r="AX88" s="3">
        <f t="shared" si="119"/>
        <v>-110045683.98376822</v>
      </c>
      <c r="AY88" s="3">
        <f t="shared" si="120"/>
        <v>-116091040.49547355</v>
      </c>
      <c r="AZ88" s="3">
        <f t="shared" si="121"/>
        <v>-120370792.70710999</v>
      </c>
      <c r="BA88" s="3">
        <f t="shared" si="122"/>
        <v>-122946563.55962433</v>
      </c>
      <c r="BB88" s="3">
        <f t="shared" si="123"/>
        <v>-123891739.17611274</v>
      </c>
      <c r="BC88" s="3">
        <f t="shared" si="124"/>
        <v>-123282498.43959366</v>
      </c>
      <c r="BD88" s="3">
        <f t="shared" si="125"/>
        <v>-121190818.18721361</v>
      </c>
      <c r="BE88" s="3">
        <f t="shared" si="126"/>
        <v>-117679651.67634061</v>
      </c>
      <c r="BF88" s="3">
        <f t="shared" si="127"/>
        <v>-112800482.16983023</v>
      </c>
      <c r="BG88" s="3">
        <f t="shared" si="128"/>
        <v>-106593463.30185942</v>
      </c>
      <c r="BH88" s="3">
        <f t="shared" si="129"/>
        <v>-99090341.307169765</v>
      </c>
      <c r="BI88" s="3">
        <f t="shared" si="130"/>
        <v>-90320274.559669688</v>
      </c>
      <c r="BJ88" s="3">
        <f t="shared" si="131"/>
        <v>-80318476.74214305</v>
      </c>
      <c r="BK88" s="3">
        <f t="shared" si="132"/>
        <v>-69137256.272150204</v>
      </c>
      <c r="BL88" s="3">
        <f t="shared" si="133"/>
        <v>-56858456.669299394</v>
      </c>
      <c r="BM88" s="3">
        <f t="shared" si="134"/>
        <v>-43605512.938343063</v>
      </c>
      <c r="BN88" s="3">
        <f t="shared" si="135"/>
        <v>-29552431.991915934</v>
      </c>
      <c r="BO88" s="3">
        <f t="shared" si="136"/>
        <v>-14926296.684221245</v>
      </c>
      <c r="BP88" s="3">
        <f t="shared" si="137"/>
        <v>0</v>
      </c>
      <c r="BW88" s="19"/>
      <c r="BX88" s="3">
        <v>1</v>
      </c>
      <c r="BY88" s="3">
        <f t="shared" si="138"/>
        <v>0.17990274775391865</v>
      </c>
      <c r="BZ88" s="3">
        <f t="shared" si="139"/>
        <v>0.17990274775391865</v>
      </c>
      <c r="CA88" s="3">
        <f t="shared" si="140"/>
        <v>0.17990274775391865</v>
      </c>
      <c r="CB88" s="3">
        <f t="shared" si="141"/>
        <v>0.17990274775391865</v>
      </c>
      <c r="CC88" s="3">
        <f t="shared" si="142"/>
        <v>0.17990274775391865</v>
      </c>
      <c r="CD88" s="3">
        <f t="shared" si="143"/>
        <v>0.17990274775391865</v>
      </c>
      <c r="CE88" s="3">
        <f t="shared" si="144"/>
        <v>0.17990274775391865</v>
      </c>
      <c r="CF88" s="3">
        <f t="shared" si="145"/>
        <v>0.17990274775391865</v>
      </c>
      <c r="CG88" s="3">
        <f t="shared" si="146"/>
        <v>0.17990274775391865</v>
      </c>
      <c r="CH88" s="3">
        <f t="shared" si="147"/>
        <v>0.17990274775391865</v>
      </c>
      <c r="CI88" s="3">
        <f t="shared" si="148"/>
        <v>0.17990274775391865</v>
      </c>
      <c r="CJ88" s="3">
        <f t="shared" si="149"/>
        <v>0.17990274775391865</v>
      </c>
      <c r="CK88" s="3">
        <f t="shared" si="150"/>
        <v>0.17990274775391865</v>
      </c>
      <c r="CL88" s="3">
        <f t="shared" si="151"/>
        <v>0.17990274775391865</v>
      </c>
      <c r="CM88" s="3">
        <f t="shared" si="152"/>
        <v>0.17990274775391865</v>
      </c>
      <c r="CN88" s="3">
        <f t="shared" si="153"/>
        <v>0.17990274775391865</v>
      </c>
      <c r="CO88" s="3">
        <f t="shared" si="154"/>
        <v>0.17990274775391865</v>
      </c>
      <c r="CP88" s="3">
        <f t="shared" si="155"/>
        <v>0.17990274775391865</v>
      </c>
      <c r="CQ88" s="3">
        <f t="shared" si="156"/>
        <v>0.17990274775391865</v>
      </c>
      <c r="CR88" s="3">
        <f t="shared" si="157"/>
        <v>0.17990274775391865</v>
      </c>
      <c r="CS88" s="3">
        <f t="shared" si="158"/>
        <v>0.17990274775391865</v>
      </c>
      <c r="CT88" s="3">
        <f t="shared" si="159"/>
        <v>0.17990274775391865</v>
      </c>
      <c r="CU88" s="3">
        <f t="shared" si="160"/>
        <v>0.17990274775391865</v>
      </c>
      <c r="CV88" s="3">
        <f t="shared" si="161"/>
        <v>0.17990274775391865</v>
      </c>
      <c r="CW88" s="3">
        <f t="shared" si="162"/>
        <v>0.17990274775391865</v>
      </c>
      <c r="CX88" s="3">
        <f t="shared" si="163"/>
        <v>0.17990274775391865</v>
      </c>
      <c r="DE88" s="19"/>
      <c r="DF88" s="3">
        <v>0</v>
      </c>
      <c r="DG88" s="3">
        <f t="shared" si="164"/>
        <v>4.7202211954368218</v>
      </c>
      <c r="DH88" s="3">
        <f t="shared" si="165"/>
        <v>8.5007405464037031</v>
      </c>
      <c r="DI88" s="3">
        <f t="shared" si="166"/>
        <v>12.076285672548325</v>
      </c>
      <c r="DJ88" s="3">
        <f t="shared" si="167"/>
        <v>15.37318290939573</v>
      </c>
      <c r="DK88" s="3">
        <f t="shared" si="168"/>
        <v>18.3345801294208</v>
      </c>
      <c r="DL88" s="3">
        <f t="shared" si="169"/>
        <v>20.920804535778906</v>
      </c>
      <c r="DM88" s="3">
        <f t="shared" si="170"/>
        <v>23.108052033927954</v>
      </c>
      <c r="DN88" s="3">
        <f t="shared" si="171"/>
        <v>24.886073893134288</v>
      </c>
      <c r="DO88" s="3">
        <f t="shared" si="172"/>
        <v>26.255400415955364</v>
      </c>
      <c r="DP88" s="3">
        <f t="shared" si="173"/>
        <v>27.224479416588487</v>
      </c>
      <c r="DQ88" s="3">
        <f t="shared" si="174"/>
        <v>27.806968774615175</v>
      </c>
      <c r="DR88" s="3">
        <f t="shared" si="175"/>
        <v>28.019325793352312</v>
      </c>
      <c r="DS88" s="3">
        <f t="shared" si="176"/>
        <v>27.878779014237789</v>
      </c>
      <c r="DT88" s="3">
        <f t="shared" si="177"/>
        <v>27.401740236763736</v>
      </c>
      <c r="DU88" s="3">
        <f t="shared" si="178"/>
        <v>26.602704718796772</v>
      </c>
      <c r="DV88" s="3">
        <f t="shared" si="179"/>
        <v>25.493686569245551</v>
      </c>
      <c r="DW88" s="3">
        <f t="shared" si="180"/>
        <v>24.084236575614437</v>
      </c>
      <c r="DX88" s="3">
        <f t="shared" si="181"/>
        <v>22.382084014241634</v>
      </c>
      <c r="DY88" s="3">
        <f t="shared" si="182"/>
        <v>20.394424285387611</v>
      </c>
      <c r="DZ88" s="3">
        <f t="shared" si="183"/>
        <v>18.129830440856072</v>
      </c>
      <c r="EA88" s="3">
        <f t="shared" si="184"/>
        <v>15.6006871831275</v>
      </c>
      <c r="EB88" s="3">
        <f t="shared" si="185"/>
        <v>12.82592070016192</v>
      </c>
      <c r="EC88" s="3">
        <f t="shared" si="186"/>
        <v>9.8336264626348395</v>
      </c>
      <c r="ED88" s="3">
        <f t="shared" si="187"/>
        <v>6.6630041069271675</v>
      </c>
      <c r="EE88" s="3">
        <f t="shared" si="188"/>
        <v>3.364863368335091</v>
      </c>
      <c r="EF88" s="3">
        <v>0</v>
      </c>
    </row>
    <row r="89" spans="7:136" x14ac:dyDescent="0.3">
      <c r="G89" s="13"/>
      <c r="H89" s="3">
        <v>0</v>
      </c>
      <c r="I89" s="3">
        <f t="shared" si="189"/>
        <v>5.5217726337831472</v>
      </c>
      <c r="J89" s="3">
        <f t="shared" si="190"/>
        <v>9.9473418336596691</v>
      </c>
      <c r="K89" s="3">
        <f t="shared" si="191"/>
        <v>14.137847327268384</v>
      </c>
      <c r="L89" s="3">
        <f t="shared" si="192"/>
        <v>18.00750136662559</v>
      </c>
      <c r="M89" s="3">
        <f t="shared" si="193"/>
        <v>21.488986206013486</v>
      </c>
      <c r="N89" s="3">
        <f t="shared" si="194"/>
        <v>24.534180881856852</v>
      </c>
      <c r="O89" s="3">
        <f t="shared" si="195"/>
        <v>27.11304045948367</v>
      </c>
      <c r="P89" s="3">
        <f t="shared" si="196"/>
        <v>29.211284691589217</v>
      </c>
      <c r="Q89" s="3">
        <f t="shared" si="197"/>
        <v>30.827462154217006</v>
      </c>
      <c r="R89" s="3">
        <f t="shared" si="198"/>
        <v>31.969812502553566</v>
      </c>
      <c r="S89" s="3">
        <f t="shared" si="199"/>
        <v>32.653215677675192</v>
      </c>
      <c r="T89" s="3">
        <f t="shared" si="200"/>
        <v>32.896416730327296</v>
      </c>
      <c r="U89" s="3">
        <f t="shared" si="201"/>
        <v>32.719650442488181</v>
      </c>
      <c r="V89" s="3">
        <f t="shared" si="202"/>
        <v>32.142753603792627</v>
      </c>
      <c r="W89" s="3">
        <f t="shared" si="203"/>
        <v>31.183834761583682</v>
      </c>
      <c r="X89" s="3">
        <f t="shared" si="204"/>
        <v>29.858562311841307</v>
      </c>
      <c r="Y89" s="3">
        <f t="shared" si="205"/>
        <v>28.180123872396855</v>
      </c>
      <c r="Z89" s="3">
        <f t="shared" si="206"/>
        <v>26.159895245902909</v>
      </c>
      <c r="AA89" s="3">
        <f t="shared" si="207"/>
        <v>23.808827419223473</v>
      </c>
      <c r="AB89" s="3">
        <f t="shared" si="208"/>
        <v>21.139505079672563</v>
      </c>
      <c r="AC89" s="3">
        <f t="shared" si="209"/>
        <v>18.168739769683562</v>
      </c>
      <c r="AD89" s="3">
        <f t="shared" si="210"/>
        <v>14.920428170373965</v>
      </c>
      <c r="AE89" s="3">
        <f t="shared" si="211"/>
        <v>11.428235893585938</v>
      </c>
      <c r="AF89" s="3">
        <f t="shared" si="212"/>
        <v>7.7374896892470728</v>
      </c>
      <c r="AG89" s="3">
        <f t="shared" si="213"/>
        <v>3.9055484421917028</v>
      </c>
      <c r="AH89" s="3">
        <v>0</v>
      </c>
      <c r="AI89"/>
      <c r="AJ89"/>
      <c r="AK89"/>
      <c r="AL89"/>
      <c r="AO89" s="19"/>
      <c r="AP89" s="3">
        <f t="shared" si="111"/>
        <v>0</v>
      </c>
      <c r="AQ89" s="3">
        <f t="shared" si="112"/>
        <v>-19708334.981977362</v>
      </c>
      <c r="AR89" s="3">
        <f t="shared" si="113"/>
        <v>-35508368.016346797</v>
      </c>
      <c r="AS89" s="3">
        <f t="shared" si="114"/>
        <v>-50475779.87612512</v>
      </c>
      <c r="AT89" s="3">
        <f t="shared" si="115"/>
        <v>-64304672.25001321</v>
      </c>
      <c r="AU89" s="3">
        <f t="shared" si="116"/>
        <v>-76753521.339894831</v>
      </c>
      <c r="AV89" s="3">
        <f t="shared" si="117"/>
        <v>-87648327.017317399</v>
      </c>
      <c r="AW89" s="3">
        <f t="shared" si="118"/>
        <v>-96879200.850242585</v>
      </c>
      <c r="AX89" s="3">
        <f t="shared" si="119"/>
        <v>-104392588.59091043</v>
      </c>
      <c r="AY89" s="3">
        <f t="shared" si="120"/>
        <v>-110181100.20133992</v>
      </c>
      <c r="AZ89" s="3">
        <f t="shared" si="121"/>
        <v>-114272469.51306893</v>
      </c>
      <c r="BA89" s="3">
        <f t="shared" si="122"/>
        <v>-116718713.82403898</v>
      </c>
      <c r="BB89" s="3">
        <f t="shared" si="123"/>
        <v>-117586210.12711871</v>
      </c>
      <c r="BC89" s="3">
        <f t="shared" si="124"/>
        <v>-116947167.80932534</v>
      </c>
      <c r="BD89" s="3">
        <f t="shared" si="125"/>
        <v>-114872837.75353174</v>
      </c>
      <c r="BE89" s="3">
        <f t="shared" si="126"/>
        <v>-111428722.86906442</v>
      </c>
      <c r="BF89" s="3">
        <f t="shared" si="127"/>
        <v>-106672013.21137798</v>
      </c>
      <c r="BG89" s="3">
        <f t="shared" si="128"/>
        <v>-100651430.8552641</v>
      </c>
      <c r="BH89" s="3">
        <f t="shared" si="129"/>
        <v>-93409607.20651865</v>
      </c>
      <c r="BI89" s="3">
        <f t="shared" si="130"/>
        <v>-84987997.781607091</v>
      </c>
      <c r="BJ89" s="3">
        <f t="shared" si="131"/>
        <v>-75434132.533467174</v>
      </c>
      <c r="BK89" s="3">
        <f t="shared" si="132"/>
        <v>-64810670.648194037</v>
      </c>
      <c r="BL89" s="3">
        <f t="shared" si="133"/>
        <v>-53205260.642135985</v>
      </c>
      <c r="BM89" s="3">
        <f t="shared" si="134"/>
        <v>-40739628.888538055</v>
      </c>
      <c r="BN89" s="3">
        <f t="shared" si="135"/>
        <v>-27575753.556645174</v>
      </c>
      <c r="BO89" s="3">
        <f t="shared" si="136"/>
        <v>-13916688.714749755</v>
      </c>
      <c r="BP89" s="3">
        <f t="shared" si="137"/>
        <v>0</v>
      </c>
      <c r="BW89" s="19"/>
      <c r="BX89" s="3">
        <v>1</v>
      </c>
      <c r="BY89" s="3">
        <f t="shared" si="138"/>
        <v>0.17990274775391865</v>
      </c>
      <c r="BZ89" s="3">
        <f t="shared" si="139"/>
        <v>0.17990274775391865</v>
      </c>
      <c r="CA89" s="3">
        <f t="shared" si="140"/>
        <v>0.17990274775391865</v>
      </c>
      <c r="CB89" s="3">
        <f t="shared" si="141"/>
        <v>0.17990274775391865</v>
      </c>
      <c r="CC89" s="3">
        <f t="shared" si="142"/>
        <v>0.17990274775391865</v>
      </c>
      <c r="CD89" s="3">
        <f t="shared" si="143"/>
        <v>0.17990274775391865</v>
      </c>
      <c r="CE89" s="3">
        <f t="shared" si="144"/>
        <v>0.17990274775391865</v>
      </c>
      <c r="CF89" s="3">
        <f t="shared" si="145"/>
        <v>0.17990274775391865</v>
      </c>
      <c r="CG89" s="3">
        <f t="shared" si="146"/>
        <v>0.17990274775391865</v>
      </c>
      <c r="CH89" s="3">
        <f t="shared" si="147"/>
        <v>0.17990274775391865</v>
      </c>
      <c r="CI89" s="3">
        <f t="shared" si="148"/>
        <v>0.17990274775391865</v>
      </c>
      <c r="CJ89" s="3">
        <f t="shared" si="149"/>
        <v>0.17990274775391865</v>
      </c>
      <c r="CK89" s="3">
        <f t="shared" si="150"/>
        <v>0.17990274775391865</v>
      </c>
      <c r="CL89" s="3">
        <f t="shared" si="151"/>
        <v>0.17990274775391865</v>
      </c>
      <c r="CM89" s="3">
        <f t="shared" si="152"/>
        <v>0.17990274775391865</v>
      </c>
      <c r="CN89" s="3">
        <f t="shared" si="153"/>
        <v>0.17990274775391865</v>
      </c>
      <c r="CO89" s="3">
        <f t="shared" si="154"/>
        <v>0.17990274775391865</v>
      </c>
      <c r="CP89" s="3">
        <f t="shared" si="155"/>
        <v>0.17990274775391865</v>
      </c>
      <c r="CQ89" s="3">
        <f t="shared" si="156"/>
        <v>0.17990274775391865</v>
      </c>
      <c r="CR89" s="3">
        <f t="shared" si="157"/>
        <v>0.17990274775391865</v>
      </c>
      <c r="CS89" s="3">
        <f t="shared" si="158"/>
        <v>0.17990274775391865</v>
      </c>
      <c r="CT89" s="3">
        <f t="shared" si="159"/>
        <v>0.17990274775391865</v>
      </c>
      <c r="CU89" s="3">
        <f t="shared" si="160"/>
        <v>0.17990274775391865</v>
      </c>
      <c r="CV89" s="3">
        <f t="shared" si="161"/>
        <v>0.17990274775391865</v>
      </c>
      <c r="CW89" s="3">
        <f t="shared" si="162"/>
        <v>0.17990274775391865</v>
      </c>
      <c r="CX89" s="3">
        <f t="shared" si="163"/>
        <v>0.17990274775391865</v>
      </c>
      <c r="DE89" s="19"/>
      <c r="DF89" s="3">
        <v>0</v>
      </c>
      <c r="DG89" s="3">
        <f t="shared" si="164"/>
        <v>4.4680969907269112</v>
      </c>
      <c r="DH89" s="3">
        <f t="shared" si="165"/>
        <v>8.0502258386244741</v>
      </c>
      <c r="DI89" s="3">
        <f t="shared" si="166"/>
        <v>11.443741815002143</v>
      </c>
      <c r="DJ89" s="3">
        <f t="shared" si="167"/>
        <v>14.579329971390417</v>
      </c>
      <c r="DK89" s="3">
        <f t="shared" si="168"/>
        <v>17.402221975384897</v>
      </c>
      <c r="DL89" s="3">
        <f t="shared" si="169"/>
        <v>19.872904338367587</v>
      </c>
      <c r="DM89" s="3">
        <f t="shared" si="170"/>
        <v>21.966353794967684</v>
      </c>
      <c r="DN89" s="3">
        <f t="shared" si="171"/>
        <v>23.67029314183462</v>
      </c>
      <c r="DO89" s="3">
        <f t="shared" si="172"/>
        <v>24.982908677432903</v>
      </c>
      <c r="DP89" s="3">
        <f t="shared" si="173"/>
        <v>25.910369135563066</v>
      </c>
      <c r="DQ89" s="3">
        <f t="shared" si="174"/>
        <v>26.464385565183061</v>
      </c>
      <c r="DR89" s="3">
        <f t="shared" si="175"/>
        <v>26.65997330954157</v>
      </c>
      <c r="DS89" s="3">
        <f t="shared" si="176"/>
        <v>26.513524810981274</v>
      </c>
      <c r="DT89" s="3">
        <f t="shared" si="177"/>
        <v>26.041270860933952</v>
      </c>
      <c r="DU89" s="3">
        <f t="shared" si="178"/>
        <v>25.258191022005398</v>
      </c>
      <c r="DV89" s="3">
        <f t="shared" si="179"/>
        <v>24.177424229213365</v>
      </c>
      <c r="DW89" s="3">
        <f t="shared" si="180"/>
        <v>22.810221633466483</v>
      </c>
      <c r="DX89" s="3">
        <f t="shared" si="181"/>
        <v>21.166469369589784</v>
      </c>
      <c r="DY89" s="3">
        <f t="shared" si="182"/>
        <v>19.255782372725022</v>
      </c>
      <c r="DZ89" s="3">
        <f t="shared" si="183"/>
        <v>17.089124098952272</v>
      </c>
      <c r="EA89" s="3">
        <f t="shared" si="184"/>
        <v>14.680833692164011</v>
      </c>
      <c r="EB89" s="3">
        <f t="shared" si="185"/>
        <v>12.050837881536939</v>
      </c>
      <c r="EC89" s="3">
        <f t="shared" si="186"/>
        <v>9.2266957836083598</v>
      </c>
      <c r="ED89" s="3">
        <f t="shared" si="187"/>
        <v>6.2449970494706104</v>
      </c>
      <c r="EE89" s="3">
        <f t="shared" si="188"/>
        <v>3.1515650847899863</v>
      </c>
      <c r="EF89" s="3">
        <v>0</v>
      </c>
    </row>
    <row r="90" spans="7:136" x14ac:dyDescent="0.3">
      <c r="G90" s="13"/>
      <c r="H90" s="3">
        <v>0</v>
      </c>
      <c r="I90" s="3">
        <f t="shared" si="189"/>
        <v>5.294764684963531</v>
      </c>
      <c r="J90" s="3">
        <f t="shared" si="190"/>
        <v>9.5398085888688477</v>
      </c>
      <c r="K90" s="3">
        <f t="shared" si="191"/>
        <v>13.561685006531533</v>
      </c>
      <c r="L90" s="3">
        <f t="shared" si="192"/>
        <v>17.278395321358019</v>
      </c>
      <c r="M90" s="3">
        <f t="shared" si="193"/>
        <v>20.625047905399125</v>
      </c>
      <c r="N90" s="3">
        <f t="shared" si="194"/>
        <v>23.554644379204806</v>
      </c>
      <c r="O90" s="3">
        <f t="shared" si="195"/>
        <v>26.037182850184131</v>
      </c>
      <c r="P90" s="3">
        <f t="shared" si="196"/>
        <v>28.057650732607364</v>
      </c>
      <c r="Q90" s="3">
        <f t="shared" si="197"/>
        <v>29.613405281369403</v>
      </c>
      <c r="R90" s="3">
        <f t="shared" si="198"/>
        <v>30.711321262406482</v>
      </c>
      <c r="S90" s="3">
        <f t="shared" si="199"/>
        <v>31.364973546806937</v>
      </c>
      <c r="T90" s="3">
        <f t="shared" si="200"/>
        <v>31.592037599820568</v>
      </c>
      <c r="U90" s="3">
        <f t="shared" si="201"/>
        <v>31.412034606135066</v>
      </c>
      <c r="V90" s="3">
        <f t="shared" si="202"/>
        <v>30.844514303114046</v>
      </c>
      <c r="W90" s="3">
        <f t="shared" si="203"/>
        <v>29.907749496422326</v>
      </c>
      <c r="X90" s="3">
        <f t="shared" si="204"/>
        <v>28.618004215652117</v>
      </c>
      <c r="Y90" s="3">
        <f t="shared" si="205"/>
        <v>26.989425915137367</v>
      </c>
      <c r="Z90" s="3">
        <f t="shared" si="206"/>
        <v>25.034594655624634</v>
      </c>
      <c r="AA90" s="3">
        <f t="shared" si="207"/>
        <v>22.765731792791826</v>
      </c>
      <c r="AB90" s="3">
        <f t="shared" si="208"/>
        <v>20.196519256569207</v>
      </c>
      <c r="AC90" s="3">
        <f t="shared" si="209"/>
        <v>17.344399686586858</v>
      </c>
      <c r="AD90" s="3">
        <f t="shared" si="210"/>
        <v>14.233112030522451</v>
      </c>
      <c r="AE90" s="3">
        <f t="shared" si="211"/>
        <v>10.895070867357081</v>
      </c>
      <c r="AF90" s="3">
        <f t="shared" si="212"/>
        <v>7.3730456629540662</v>
      </c>
      <c r="AG90" s="3">
        <f t="shared" si="213"/>
        <v>3.7204984623052915</v>
      </c>
      <c r="AH90" s="3">
        <v>0</v>
      </c>
      <c r="AI90"/>
      <c r="AJ90"/>
      <c r="AK90"/>
      <c r="AL90"/>
      <c r="AO90" s="19"/>
      <c r="AP90" s="3">
        <f t="shared" si="111"/>
        <v>0</v>
      </c>
      <c r="AQ90" s="3">
        <f t="shared" si="112"/>
        <v>-18904422.031544287</v>
      </c>
      <c r="AR90" s="3">
        <f t="shared" si="113"/>
        <v>-34064747.377248779</v>
      </c>
      <c r="AS90" s="3">
        <f t="shared" si="114"/>
        <v>-48433959.499674849</v>
      </c>
      <c r="AT90" s="3">
        <f t="shared" si="115"/>
        <v>-61719536.631951548</v>
      </c>
      <c r="AU90" s="3">
        <f t="shared" si="116"/>
        <v>-73688658.826676533</v>
      </c>
      <c r="AV90" s="3">
        <f t="shared" si="117"/>
        <v>-84171509.573717684</v>
      </c>
      <c r="AW90" s="3">
        <f t="shared" si="118"/>
        <v>-93058593.546524182</v>
      </c>
      <c r="AX90" s="3">
        <f t="shared" si="119"/>
        <v>-100293988.04654579</v>
      </c>
      <c r="AY90" s="3">
        <f t="shared" si="120"/>
        <v>-105866266.80623925</v>
      </c>
      <c r="AZ90" s="3">
        <f t="shared" si="121"/>
        <v>-109798462.26919028</v>
      </c>
      <c r="BA90" s="3">
        <f t="shared" si="122"/>
        <v>-112138055.64077617</v>
      </c>
      <c r="BB90" s="3">
        <f t="shared" si="123"/>
        <v>-112947684.68865904</v>
      </c>
      <c r="BC90" s="3">
        <f t="shared" si="124"/>
        <v>-112297053.11905262</v>
      </c>
      <c r="BD90" s="3">
        <f t="shared" si="125"/>
        <v>-110256396.61108187</v>
      </c>
      <c r="BE90" s="3">
        <f t="shared" si="126"/>
        <v>-106891783.47601771</v>
      </c>
      <c r="BF90" s="3">
        <f t="shared" si="127"/>
        <v>-102262476.44594796</v>
      </c>
      <c r="BG90" s="3">
        <f t="shared" si="128"/>
        <v>-96420532.419187486</v>
      </c>
      <c r="BH90" s="3">
        <f t="shared" si="129"/>
        <v>-89412745.780676261</v>
      </c>
      <c r="BI90" s="3">
        <f t="shared" si="130"/>
        <v>-81284922.942173332</v>
      </c>
      <c r="BJ90" s="3">
        <f t="shared" si="131"/>
        <v>-72088283.108469188</v>
      </c>
      <c r="BK90" s="3">
        <f t="shared" si="132"/>
        <v>-61887486.326527096</v>
      </c>
      <c r="BL90" s="3">
        <f t="shared" si="133"/>
        <v>-50769381.512236565</v>
      </c>
      <c r="BM90" s="3">
        <f t="shared" si="134"/>
        <v>-38851069.324163914</v>
      </c>
      <c r="BN90" s="3">
        <f t="shared" si="135"/>
        <v>-26285388.383516625</v>
      </c>
      <c r="BO90" s="3">
        <f t="shared" si="136"/>
        <v>-13261677.9910072</v>
      </c>
      <c r="BP90" s="3">
        <f t="shared" si="137"/>
        <v>0</v>
      </c>
      <c r="BW90" s="19"/>
      <c r="BX90" s="3">
        <v>1</v>
      </c>
      <c r="BY90" s="3">
        <f t="shared" si="138"/>
        <v>0.17990274775391865</v>
      </c>
      <c r="BZ90" s="3">
        <f t="shared" si="139"/>
        <v>0.17990274775391865</v>
      </c>
      <c r="CA90" s="3">
        <f t="shared" si="140"/>
        <v>0.17990274775391865</v>
      </c>
      <c r="CB90" s="3">
        <f t="shared" si="141"/>
        <v>0.17990274775391865</v>
      </c>
      <c r="CC90" s="3">
        <f t="shared" si="142"/>
        <v>0.17990274775391865</v>
      </c>
      <c r="CD90" s="3">
        <f t="shared" si="143"/>
        <v>0.17990274775391865</v>
      </c>
      <c r="CE90" s="3">
        <f t="shared" si="144"/>
        <v>0.17990274775391865</v>
      </c>
      <c r="CF90" s="3">
        <f t="shared" si="145"/>
        <v>0.17990274775391865</v>
      </c>
      <c r="CG90" s="3">
        <f t="shared" si="146"/>
        <v>0.17990274775391865</v>
      </c>
      <c r="CH90" s="3">
        <f t="shared" si="147"/>
        <v>0.17990274775391865</v>
      </c>
      <c r="CI90" s="3">
        <f t="shared" si="148"/>
        <v>0.17990274775391865</v>
      </c>
      <c r="CJ90" s="3">
        <f t="shared" si="149"/>
        <v>0.17990274775391865</v>
      </c>
      <c r="CK90" s="3">
        <f t="shared" si="150"/>
        <v>0.17990274775391865</v>
      </c>
      <c r="CL90" s="3">
        <f t="shared" si="151"/>
        <v>0.17990274775391865</v>
      </c>
      <c r="CM90" s="3">
        <f t="shared" si="152"/>
        <v>0.17990274775391865</v>
      </c>
      <c r="CN90" s="3">
        <f t="shared" si="153"/>
        <v>0.17990274775391865</v>
      </c>
      <c r="CO90" s="3">
        <f t="shared" si="154"/>
        <v>0.17990274775391865</v>
      </c>
      <c r="CP90" s="3">
        <f t="shared" si="155"/>
        <v>0.17990274775391865</v>
      </c>
      <c r="CQ90" s="3">
        <f t="shared" si="156"/>
        <v>0.17990274775391865</v>
      </c>
      <c r="CR90" s="3">
        <f t="shared" si="157"/>
        <v>0.17990274775391865</v>
      </c>
      <c r="CS90" s="3">
        <f t="shared" si="158"/>
        <v>0.17990274775391865</v>
      </c>
      <c r="CT90" s="3">
        <f t="shared" si="159"/>
        <v>0.17990274775391865</v>
      </c>
      <c r="CU90" s="3">
        <f t="shared" si="160"/>
        <v>0.17990274775391865</v>
      </c>
      <c r="CV90" s="3">
        <f t="shared" si="161"/>
        <v>0.17990274775391865</v>
      </c>
      <c r="CW90" s="3">
        <f t="shared" si="162"/>
        <v>0.17990274775391865</v>
      </c>
      <c r="CX90" s="3">
        <f t="shared" si="163"/>
        <v>0.17990274775391865</v>
      </c>
      <c r="DE90" s="19"/>
      <c r="DF90" s="3">
        <v>0</v>
      </c>
      <c r="DG90" s="3">
        <f t="shared" si="164"/>
        <v>4.3013826156735506</v>
      </c>
      <c r="DH90" s="3">
        <f t="shared" si="165"/>
        <v>7.7502544601459702</v>
      </c>
      <c r="DI90" s="3">
        <f t="shared" si="166"/>
        <v>11.018247425030557</v>
      </c>
      <c r="DJ90" s="3">
        <f t="shared" si="167"/>
        <v>14.03879634531963</v>
      </c>
      <c r="DK90" s="3">
        <f t="shared" si="168"/>
        <v>16.759120240491242</v>
      </c>
      <c r="DL90" s="3">
        <f t="shared" si="169"/>
        <v>19.140877824667101</v>
      </c>
      <c r="DM90" s="3">
        <f t="shared" si="170"/>
        <v>21.159472371559851</v>
      </c>
      <c r="DN90" s="3">
        <f t="shared" si="171"/>
        <v>22.802460351168484</v>
      </c>
      <c r="DO90" s="3">
        <f t="shared" si="172"/>
        <v>24.067460133545829</v>
      </c>
      <c r="DP90" s="3">
        <f t="shared" si="173"/>
        <v>24.959864148019513</v>
      </c>
      <c r="DQ90" s="3">
        <f t="shared" si="174"/>
        <v>25.490570323391836</v>
      </c>
      <c r="DR90" s="3">
        <f t="shared" si="175"/>
        <v>25.673881838776708</v>
      </c>
      <c r="DS90" s="3">
        <f t="shared" si="176"/>
        <v>25.525679585983724</v>
      </c>
      <c r="DT90" s="3">
        <f t="shared" si="177"/>
        <v>25.061944609414581</v>
      </c>
      <c r="DU90" s="3">
        <f t="shared" si="178"/>
        <v>24.297691937309256</v>
      </c>
      <c r="DV90" s="3">
        <f t="shared" si="179"/>
        <v>23.246366811770269</v>
      </c>
      <c r="DW90" s="3">
        <f t="shared" si="180"/>
        <v>21.919744198447376</v>
      </c>
      <c r="DX90" s="3">
        <f t="shared" si="181"/>
        <v>20.328357619932028</v>
      </c>
      <c r="DY90" s="3">
        <f t="shared" si="182"/>
        <v>18.482458319274684</v>
      </c>
      <c r="DZ90" s="3">
        <f t="shared" si="183"/>
        <v>16.393464206578191</v>
      </c>
      <c r="EA90" s="3">
        <f t="shared" si="184"/>
        <v>14.075793478794886</v>
      </c>
      <c r="EB90" s="3">
        <f t="shared" si="185"/>
        <v>11.548886005007201</v>
      </c>
      <c r="EC90" s="3">
        <f t="shared" si="186"/>
        <v>8.8390998281210109</v>
      </c>
      <c r="ED90" s="3">
        <f t="shared" si="187"/>
        <v>5.9810500071409036</v>
      </c>
      <c r="EE90" s="3">
        <f t="shared" si="188"/>
        <v>3.0178795660689675</v>
      </c>
      <c r="EF90" s="3">
        <v>0</v>
      </c>
    </row>
    <row r="91" spans="7:136" x14ac:dyDescent="0.3">
      <c r="G91" s="13"/>
      <c r="H91" s="3">
        <v>0</v>
      </c>
      <c r="I91" s="3">
        <f t="shared" si="189"/>
        <v>5.1648584380540523</v>
      </c>
      <c r="J91" s="3">
        <f t="shared" si="190"/>
        <v>9.3032420665970008</v>
      </c>
      <c r="K91" s="3">
        <f t="shared" si="191"/>
        <v>13.220339647520754</v>
      </c>
      <c r="L91" s="3">
        <f t="shared" si="192"/>
        <v>16.836181587224537</v>
      </c>
      <c r="M91" s="3">
        <f t="shared" si="193"/>
        <v>20.088290691606694</v>
      </c>
      <c r="N91" s="3">
        <f t="shared" si="194"/>
        <v>22.932027238122132</v>
      </c>
      <c r="O91" s="3">
        <f t="shared" si="195"/>
        <v>25.339358429910252</v>
      </c>
      <c r="P91" s="3">
        <f t="shared" si="196"/>
        <v>27.296683166036175</v>
      </c>
      <c r="Q91" s="3">
        <f t="shared" si="197"/>
        <v>28.802193003433672</v>
      </c>
      <c r="R91" s="3">
        <f t="shared" si="198"/>
        <v>29.863100565689543</v>
      </c>
      <c r="S91" s="3">
        <f t="shared" si="199"/>
        <v>30.492952474062403</v>
      </c>
      <c r="T91" s="3">
        <f t="shared" si="200"/>
        <v>30.709169194542426</v>
      </c>
      <c r="U91" s="3">
        <f t="shared" si="201"/>
        <v>30.530910805652304</v>
      </c>
      <c r="V91" s="3">
        <f t="shared" si="202"/>
        <v>29.977344945679597</v>
      </c>
      <c r="W91" s="3">
        <f t="shared" si="203"/>
        <v>29.066381996745839</v>
      </c>
      <c r="X91" s="3">
        <f t="shared" si="204"/>
        <v>27.813936176894874</v>
      </c>
      <c r="Y91" s="3">
        <f t="shared" si="205"/>
        <v>26.233764604525149</v>
      </c>
      <c r="Z91" s="3">
        <f t="shared" si="206"/>
        <v>24.337924980449259</v>
      </c>
      <c r="AA91" s="3">
        <f t="shared" si="207"/>
        <v>22.137870809522823</v>
      </c>
      <c r="AB91" s="3">
        <f t="shared" si="208"/>
        <v>19.64616356868828</v>
      </c>
      <c r="AC91" s="3">
        <f t="shared" si="209"/>
        <v>16.878714088500075</v>
      </c>
      <c r="AD91" s="3">
        <f t="shared" si="210"/>
        <v>13.857359830927148</v>
      </c>
      <c r="AE91" s="3">
        <f t="shared" si="211"/>
        <v>10.61243376473225</v>
      </c>
      <c r="AF91" s="3">
        <f t="shared" si="212"/>
        <v>7.1847922189631914</v>
      </c>
      <c r="AG91" s="3">
        <f t="shared" si="213"/>
        <v>3.6265870189673626</v>
      </c>
      <c r="AH91" s="3">
        <v>0</v>
      </c>
      <c r="AI91"/>
      <c r="AJ91"/>
      <c r="AK91"/>
      <c r="AL91"/>
      <c r="AO91" s="19"/>
      <c r="AP91" s="3">
        <f t="shared" si="111"/>
        <v>0</v>
      </c>
      <c r="AQ91" s="3">
        <f t="shared" si="112"/>
        <v>-18442497.234120023</v>
      </c>
      <c r="AR91" s="3">
        <f t="shared" si="113"/>
        <v>-33224164.839377537</v>
      </c>
      <c r="AS91" s="3">
        <f t="shared" si="114"/>
        <v>-47222065.208809875</v>
      </c>
      <c r="AT91" s="3">
        <f t="shared" si="115"/>
        <v>-60150640.622115962</v>
      </c>
      <c r="AU91" s="3">
        <f t="shared" si="116"/>
        <v>-71785328.13843374</v>
      </c>
      <c r="AV91" s="3">
        <f t="shared" si="117"/>
        <v>-81964441.160459861</v>
      </c>
      <c r="AW91" s="3">
        <f t="shared" si="118"/>
        <v>-90585353.411752895</v>
      </c>
      <c r="AX91" s="3">
        <f t="shared" si="119"/>
        <v>-97597141.395994127</v>
      </c>
      <c r="AY91" s="3">
        <f t="shared" si="120"/>
        <v>-102991399.70952703</v>
      </c>
      <c r="AZ91" s="3">
        <f t="shared" si="121"/>
        <v>-106792449.04233339</v>
      </c>
      <c r="BA91" s="3">
        <f t="shared" si="122"/>
        <v>-109047757.3551553</v>
      </c>
      <c r="BB91" s="3">
        <f t="shared" si="123"/>
        <v>-109819122.35911262</v>
      </c>
      <c r="BC91" s="3">
        <f t="shared" si="124"/>
        <v>-109174998.56173575</v>
      </c>
      <c r="BD91" s="3">
        <f t="shared" si="125"/>
        <v>-107184261.15301107</v>
      </c>
      <c r="BE91" s="3">
        <f t="shared" si="126"/>
        <v>-103911650.69013372</v>
      </c>
      <c r="BF91" s="3">
        <f t="shared" si="127"/>
        <v>-99415112.635953814</v>
      </c>
      <c r="BG91" s="3">
        <f t="shared" si="128"/>
        <v>-93745215.462634787</v>
      </c>
      <c r="BH91" s="3">
        <f t="shared" si="129"/>
        <v>-86946782.823976696</v>
      </c>
      <c r="BI91" s="3">
        <f t="shared" si="130"/>
        <v>-79062788.783258766</v>
      </c>
      <c r="BJ91" s="3">
        <f t="shared" si="131"/>
        <v>-70140413.41005908</v>
      </c>
      <c r="BK91" s="3">
        <f t="shared" si="132"/>
        <v>-60238905.719763272</v>
      </c>
      <c r="BL91" s="3">
        <f t="shared" si="133"/>
        <v>-49438518.343512595</v>
      </c>
      <c r="BM91" s="3">
        <f t="shared" si="134"/>
        <v>-37849249.631800599</v>
      </c>
      <c r="BN91" s="3">
        <f t="shared" si="135"/>
        <v>-25617501.816209055</v>
      </c>
      <c r="BO91" s="3">
        <f t="shared" si="136"/>
        <v>-12928218.32044276</v>
      </c>
      <c r="BP91" s="3">
        <f t="shared" si="137"/>
        <v>0</v>
      </c>
      <c r="BW91" s="19"/>
      <c r="BX91" s="3">
        <v>1</v>
      </c>
      <c r="BY91" s="3">
        <f t="shared" si="138"/>
        <v>0.17990274775391865</v>
      </c>
      <c r="BZ91" s="3">
        <f t="shared" si="139"/>
        <v>0.17990274775391865</v>
      </c>
      <c r="CA91" s="3">
        <f t="shared" si="140"/>
        <v>0.17990274775391865</v>
      </c>
      <c r="CB91" s="3">
        <f t="shared" si="141"/>
        <v>0.17990274775391865</v>
      </c>
      <c r="CC91" s="3">
        <f t="shared" si="142"/>
        <v>0.17990274775391865</v>
      </c>
      <c r="CD91" s="3">
        <f t="shared" si="143"/>
        <v>0.17990274775391865</v>
      </c>
      <c r="CE91" s="3">
        <f t="shared" si="144"/>
        <v>0.17990274775391865</v>
      </c>
      <c r="CF91" s="3">
        <f t="shared" si="145"/>
        <v>0.17990274775391865</v>
      </c>
      <c r="CG91" s="3">
        <f t="shared" si="146"/>
        <v>0.17990274775391865</v>
      </c>
      <c r="CH91" s="3">
        <f t="shared" si="147"/>
        <v>0.17990274775391865</v>
      </c>
      <c r="CI91" s="3">
        <f t="shared" si="148"/>
        <v>0.17990274775391865</v>
      </c>
      <c r="CJ91" s="3">
        <f t="shared" si="149"/>
        <v>0.17990274775391865</v>
      </c>
      <c r="CK91" s="3">
        <f t="shared" si="150"/>
        <v>0.17990274775391865</v>
      </c>
      <c r="CL91" s="3">
        <f t="shared" si="151"/>
        <v>0.17990274775391865</v>
      </c>
      <c r="CM91" s="3">
        <f t="shared" si="152"/>
        <v>0.17990274775391865</v>
      </c>
      <c r="CN91" s="3">
        <f t="shared" si="153"/>
        <v>0.17990274775391865</v>
      </c>
      <c r="CO91" s="3">
        <f t="shared" si="154"/>
        <v>0.17990274775391865</v>
      </c>
      <c r="CP91" s="3">
        <f t="shared" si="155"/>
        <v>0.17990274775391865</v>
      </c>
      <c r="CQ91" s="3">
        <f t="shared" si="156"/>
        <v>0.17990274775391865</v>
      </c>
      <c r="CR91" s="3">
        <f t="shared" si="157"/>
        <v>0.17990274775391865</v>
      </c>
      <c r="CS91" s="3">
        <f t="shared" si="158"/>
        <v>0.17990274775391865</v>
      </c>
      <c r="CT91" s="3">
        <f t="shared" si="159"/>
        <v>0.17990274775391865</v>
      </c>
      <c r="CU91" s="3">
        <f t="shared" si="160"/>
        <v>0.17990274775391865</v>
      </c>
      <c r="CV91" s="3">
        <f t="shared" si="161"/>
        <v>0.17990274775391865</v>
      </c>
      <c r="CW91" s="3">
        <f t="shared" si="162"/>
        <v>0.17990274775391865</v>
      </c>
      <c r="CX91" s="3">
        <f t="shared" si="163"/>
        <v>0.17990274775391865</v>
      </c>
      <c r="DE91" s="19"/>
      <c r="DF91" s="3">
        <v>0</v>
      </c>
      <c r="DG91" s="3">
        <f t="shared" si="164"/>
        <v>4.212315722518702</v>
      </c>
      <c r="DH91" s="3">
        <f t="shared" si="165"/>
        <v>7.5870042884130617</v>
      </c>
      <c r="DI91" s="3">
        <f t="shared" si="166"/>
        <v>10.780555250672611</v>
      </c>
      <c r="DJ91" s="3">
        <f t="shared" si="167"/>
        <v>13.727750792133776</v>
      </c>
      <c r="DK91" s="3">
        <f t="shared" si="168"/>
        <v>16.377787900869187</v>
      </c>
      <c r="DL91" s="3">
        <f t="shared" si="169"/>
        <v>18.694481991936794</v>
      </c>
      <c r="DM91" s="3">
        <f t="shared" si="170"/>
        <v>20.655197691390921</v>
      </c>
      <c r="DN91" s="3">
        <f t="shared" si="171"/>
        <v>22.249034703720362</v>
      </c>
      <c r="DO91" s="3">
        <f t="shared" si="172"/>
        <v>23.474660022964912</v>
      </c>
      <c r="DP91" s="3">
        <f t="shared" si="173"/>
        <v>24.33804948342927</v>
      </c>
      <c r="DQ91" s="3">
        <f t="shared" si="174"/>
        <v>24.850307549762864</v>
      </c>
      <c r="DR91" s="3">
        <f t="shared" si="175"/>
        <v>25.025674823189593</v>
      </c>
      <c r="DS91" s="3">
        <f t="shared" si="176"/>
        <v>24.879799467467425</v>
      </c>
      <c r="DT91" s="3">
        <f t="shared" si="177"/>
        <v>24.428332069414335</v>
      </c>
      <c r="DU91" s="3">
        <f t="shared" si="178"/>
        <v>23.685895683203587</v>
      </c>
      <c r="DV91" s="3">
        <f t="shared" si="179"/>
        <v>22.665478583265831</v>
      </c>
      <c r="DW91" s="3">
        <f t="shared" si="180"/>
        <v>21.378292722091114</v>
      </c>
      <c r="DX91" s="3">
        <f t="shared" si="181"/>
        <v>19.834132612996822</v>
      </c>
      <c r="DY91" s="3">
        <f t="shared" si="182"/>
        <v>18.042253105370829</v>
      </c>
      <c r="DZ91" s="3">
        <f t="shared" si="183"/>
        <v>16.012754259366549</v>
      </c>
      <c r="EA91" s="3">
        <f t="shared" si="184"/>
        <v>13.758408926740895</v>
      </c>
      <c r="EB91" s="3">
        <f t="shared" si="185"/>
        <v>11.296783867546802</v>
      </c>
      <c r="EC91" s="3">
        <f t="shared" si="186"/>
        <v>8.6523805787210417</v>
      </c>
      <c r="ED91" s="3">
        <f t="shared" si="187"/>
        <v>5.858361044882642</v>
      </c>
      <c r="EE91" s="3">
        <f t="shared" si="188"/>
        <v>2.9572591225844116</v>
      </c>
      <c r="EF91" s="3">
        <v>0</v>
      </c>
    </row>
    <row r="92" spans="7:136" x14ac:dyDescent="0.3">
      <c r="G92" s="13"/>
      <c r="H92" s="3">
        <v>0</v>
      </c>
      <c r="I92" s="3">
        <f t="shared" si="189"/>
        <v>5.1276998393443609</v>
      </c>
      <c r="J92" s="3">
        <f t="shared" si="190"/>
        <v>9.229079497777338</v>
      </c>
      <c r="K92" s="3">
        <f t="shared" si="191"/>
        <v>13.100419412848312</v>
      </c>
      <c r="L92" s="3">
        <f t="shared" si="192"/>
        <v>16.662348248518118</v>
      </c>
      <c r="M92" s="3">
        <f t="shared" si="193"/>
        <v>19.85521456743529</v>
      </c>
      <c r="N92" s="3">
        <f t="shared" si="194"/>
        <v>22.638320286950854</v>
      </c>
      <c r="O92" s="3">
        <f t="shared" si="195"/>
        <v>24.987732046888407</v>
      </c>
      <c r="P92" s="3">
        <f t="shared" si="196"/>
        <v>26.893471993898203</v>
      </c>
      <c r="Q92" s="3">
        <f t="shared" si="197"/>
        <v>28.356563073455661</v>
      </c>
      <c r="R92" s="3">
        <f t="shared" si="198"/>
        <v>29.386179312968178</v>
      </c>
      <c r="S92" s="3">
        <f t="shared" si="199"/>
        <v>29.997024093165436</v>
      </c>
      <c r="T92" s="3">
        <f t="shared" si="200"/>
        <v>30.206999446112164</v>
      </c>
      <c r="U92" s="3">
        <f t="shared" si="201"/>
        <v>30.035208437180394</v>
      </c>
      <c r="V92" s="3">
        <f t="shared" si="202"/>
        <v>29.500330636856859</v>
      </c>
      <c r="W92" s="3">
        <f t="shared" si="203"/>
        <v>28.619415848361097</v>
      </c>
      <c r="X92" s="3">
        <f t="shared" si="204"/>
        <v>27.40714778447601</v>
      </c>
      <c r="Y92" s="3">
        <f t="shared" si="205"/>
        <v>25.875634642131576</v>
      </c>
      <c r="Z92" s="3">
        <f t="shared" si="206"/>
        <v>24.034785694724562</v>
      </c>
      <c r="AA92" s="3">
        <f t="shared" si="207"/>
        <v>21.893328917918851</v>
      </c>
      <c r="AB92" s="3">
        <f t="shared" si="208"/>
        <v>19.460507384614314</v>
      </c>
      <c r="AC92" s="3">
        <f t="shared" si="209"/>
        <v>16.748448542018327</v>
      </c>
      <c r="AD92" s="3">
        <f t="shared" si="210"/>
        <v>13.775108880600884</v>
      </c>
      <c r="AE92" s="3">
        <f t="shared" si="211"/>
        <v>10.56752730271401</v>
      </c>
      <c r="AF92" s="3">
        <f t="shared" si="212"/>
        <v>7.1648452568336634</v>
      </c>
      <c r="AG92" s="3">
        <f t="shared" si="213"/>
        <v>3.620172979701767</v>
      </c>
      <c r="AH92" s="3">
        <v>0</v>
      </c>
      <c r="AI92"/>
      <c r="AJ92"/>
      <c r="AK92"/>
      <c r="AL92"/>
      <c r="AO92" s="19"/>
      <c r="AP92" s="3">
        <f t="shared" si="111"/>
        <v>0</v>
      </c>
      <c r="AQ92" s="3">
        <f t="shared" si="112"/>
        <v>-18306255.36325847</v>
      </c>
      <c r="AR92" s="3">
        <f t="shared" si="113"/>
        <v>-32955027.945646834</v>
      </c>
      <c r="AS92" s="3">
        <f t="shared" si="114"/>
        <v>-46791289.509146467</v>
      </c>
      <c r="AT92" s="3">
        <f t="shared" si="115"/>
        <v>-59531025.31642992</v>
      </c>
      <c r="AU92" s="3">
        <f t="shared" si="116"/>
        <v>-70958850.740862891</v>
      </c>
      <c r="AV92" s="3">
        <f t="shared" si="117"/>
        <v>-80926333.517591774</v>
      </c>
      <c r="AW92" s="3">
        <f t="shared" si="118"/>
        <v>-89344924.542916283</v>
      </c>
      <c r="AX92" s="3">
        <f t="shared" si="119"/>
        <v>-96176343.994162634</v>
      </c>
      <c r="AY92" s="3">
        <f t="shared" si="120"/>
        <v>-101422203.67337711</v>
      </c>
      <c r="AZ92" s="3">
        <f t="shared" si="121"/>
        <v>-105113854.39129205</v>
      </c>
      <c r="BA92" s="3">
        <f t="shared" si="122"/>
        <v>-107302970.6655771</v>
      </c>
      <c r="BB92" s="3">
        <f t="shared" si="123"/>
        <v>-108053145.88640025</v>
      </c>
      <c r="BC92" s="3">
        <f t="shared" si="124"/>
        <v>-107432676.78125931</v>
      </c>
      <c r="BD92" s="3">
        <f t="shared" si="125"/>
        <v>-105508695.99461073</v>
      </c>
      <c r="BE92" s="3">
        <f t="shared" si="126"/>
        <v>-102342822.34567858</v>
      </c>
      <c r="BF92" s="3">
        <f t="shared" si="127"/>
        <v>-97988516.774147913</v>
      </c>
      <c r="BG92" s="3">
        <f t="shared" si="128"/>
        <v>-92490346.648777187</v>
      </c>
      <c r="BH92" s="3">
        <f t="shared" si="129"/>
        <v>-85885363.561181366</v>
      </c>
      <c r="BI92" s="3">
        <f t="shared" si="130"/>
        <v>-78206776.443541735</v>
      </c>
      <c r="BJ92" s="3">
        <f t="shared" si="131"/>
        <v>-69490025.931621224</v>
      </c>
      <c r="BK92" s="3">
        <f t="shared" si="132"/>
        <v>-59781188.71156545</v>
      </c>
      <c r="BL92" s="3">
        <f t="shared" si="133"/>
        <v>-49147286.554186463</v>
      </c>
      <c r="BM92" s="3">
        <f t="shared" si="134"/>
        <v>-37687449.169515751</v>
      </c>
      <c r="BN92" s="3">
        <f t="shared" si="135"/>
        <v>-25542912.787296016</v>
      </c>
      <c r="BO92" s="3">
        <f t="shared" si="136"/>
        <v>-12902601.700325301</v>
      </c>
      <c r="BP92" s="3">
        <f t="shared" si="137"/>
        <v>0</v>
      </c>
      <c r="BW92" s="19"/>
      <c r="BX92" s="3">
        <v>1</v>
      </c>
      <c r="BY92" s="3">
        <f t="shared" si="138"/>
        <v>0.17990274775391865</v>
      </c>
      <c r="BZ92" s="3">
        <f t="shared" si="139"/>
        <v>0.17990274775391865</v>
      </c>
      <c r="CA92" s="3">
        <f t="shared" si="140"/>
        <v>0.17990274775391865</v>
      </c>
      <c r="CB92" s="3">
        <f t="shared" si="141"/>
        <v>0.17990274775391865</v>
      </c>
      <c r="CC92" s="3">
        <f t="shared" si="142"/>
        <v>0.17990274775391865</v>
      </c>
      <c r="CD92" s="3">
        <f t="shared" si="143"/>
        <v>0.17990274775391865</v>
      </c>
      <c r="CE92" s="3">
        <f t="shared" si="144"/>
        <v>0.17990274775391865</v>
      </c>
      <c r="CF92" s="3">
        <f t="shared" si="145"/>
        <v>0.17990274775391865</v>
      </c>
      <c r="CG92" s="3">
        <f t="shared" si="146"/>
        <v>0.17990274775391865</v>
      </c>
      <c r="CH92" s="3">
        <f t="shared" si="147"/>
        <v>0.17990274775391865</v>
      </c>
      <c r="CI92" s="3">
        <f t="shared" si="148"/>
        <v>0.17990274775391865</v>
      </c>
      <c r="CJ92" s="3">
        <f t="shared" si="149"/>
        <v>0.17990274775391865</v>
      </c>
      <c r="CK92" s="3">
        <f t="shared" si="150"/>
        <v>0.17990274775391865</v>
      </c>
      <c r="CL92" s="3">
        <f t="shared" si="151"/>
        <v>0.17990274775391865</v>
      </c>
      <c r="CM92" s="3">
        <f t="shared" si="152"/>
        <v>0.17990274775391865</v>
      </c>
      <c r="CN92" s="3">
        <f t="shared" si="153"/>
        <v>0.17990274775391865</v>
      </c>
      <c r="CO92" s="3">
        <f t="shared" si="154"/>
        <v>0.17990274775391865</v>
      </c>
      <c r="CP92" s="3">
        <f t="shared" si="155"/>
        <v>0.17990274775391865</v>
      </c>
      <c r="CQ92" s="3">
        <f t="shared" si="156"/>
        <v>0.17990274775391865</v>
      </c>
      <c r="CR92" s="3">
        <f t="shared" si="157"/>
        <v>0.17990274775391865</v>
      </c>
      <c r="CS92" s="3">
        <f t="shared" si="158"/>
        <v>0.17990274775391865</v>
      </c>
      <c r="CT92" s="3">
        <f t="shared" si="159"/>
        <v>0.17990274775391865</v>
      </c>
      <c r="CU92" s="3">
        <f t="shared" si="160"/>
        <v>0.17990274775391865</v>
      </c>
      <c r="CV92" s="3">
        <f t="shared" si="161"/>
        <v>0.17990274775391865</v>
      </c>
      <c r="CW92" s="3">
        <f t="shared" si="162"/>
        <v>0.17990274775391865</v>
      </c>
      <c r="CX92" s="3">
        <f t="shared" si="163"/>
        <v>0.17990274775391865</v>
      </c>
      <c r="DE92" s="19"/>
      <c r="DF92" s="3">
        <v>0</v>
      </c>
      <c r="DG92" s="3">
        <f t="shared" si="164"/>
        <v>4.1985276145784249</v>
      </c>
      <c r="DH92" s="3">
        <f t="shared" si="165"/>
        <v>7.5554006869766921</v>
      </c>
      <c r="DI92" s="3">
        <f t="shared" si="166"/>
        <v>10.722043984019257</v>
      </c>
      <c r="DJ92" s="3">
        <f t="shared" si="167"/>
        <v>13.633472919292492</v>
      </c>
      <c r="DK92" s="3">
        <f t="shared" si="168"/>
        <v>16.241275874335777</v>
      </c>
      <c r="DL92" s="3">
        <f t="shared" si="169"/>
        <v>18.512785575244976</v>
      </c>
      <c r="DM92" s="3">
        <f t="shared" si="170"/>
        <v>20.429111839026131</v>
      </c>
      <c r="DN92" s="3">
        <f t="shared" si="171"/>
        <v>21.98272368776016</v>
      </c>
      <c r="DO92" s="3">
        <f t="shared" si="172"/>
        <v>23.174969410799253</v>
      </c>
      <c r="DP92" s="3">
        <f t="shared" si="173"/>
        <v>24.013725464749026</v>
      </c>
      <c r="DQ92" s="3">
        <f t="shared" si="174"/>
        <v>24.511258155951957</v>
      </c>
      <c r="DR92" s="3">
        <f t="shared" si="175"/>
        <v>24.682335526773986</v>
      </c>
      <c r="DS92" s="3">
        <f t="shared" si="176"/>
        <v>24.542613691813738</v>
      </c>
      <c r="DT92" s="3">
        <f t="shared" si="177"/>
        <v>24.107323910762055</v>
      </c>
      <c r="DU92" s="3">
        <f t="shared" si="178"/>
        <v>23.390293859881488</v>
      </c>
      <c r="DV92" s="3">
        <f t="shared" si="179"/>
        <v>22.4033442404005</v>
      </c>
      <c r="DW92" s="3">
        <f t="shared" si="180"/>
        <v>21.156108305848008</v>
      </c>
      <c r="DX92" s="3">
        <f t="shared" si="181"/>
        <v>19.656326116113004</v>
      </c>
      <c r="DY92" s="3">
        <f t="shared" si="182"/>
        <v>17.910665129864427</v>
      </c>
      <c r="DZ92" s="3">
        <f t="shared" si="183"/>
        <v>15.926108575784358</v>
      </c>
      <c r="EA92" s="3">
        <f t="shared" si="184"/>
        <v>13.711921498944385</v>
      </c>
      <c r="EB92" s="3">
        <f t="shared" si="185"/>
        <v>11.282131770402312</v>
      </c>
      <c r="EC92" s="3">
        <f t="shared" si="186"/>
        <v>8.6583213080822148</v>
      </c>
      <c r="ED92" s="3">
        <f t="shared" si="187"/>
        <v>5.8722813946012105</v>
      </c>
      <c r="EE92" s="3">
        <f t="shared" si="188"/>
        <v>2.9677400100208455</v>
      </c>
      <c r="EF92" s="3">
        <v>0</v>
      </c>
    </row>
    <row r="93" spans="7:136" x14ac:dyDescent="0.3">
      <c r="G93" s="13"/>
      <c r="H93" s="3">
        <v>0</v>
      </c>
      <c r="I93" s="3">
        <f t="shared" si="189"/>
        <v>5.1863280233081559</v>
      </c>
      <c r="J93" s="3">
        <f t="shared" si="190"/>
        <v>9.3204900275251887</v>
      </c>
      <c r="K93" s="3">
        <f t="shared" si="191"/>
        <v>13.20244724707754</v>
      </c>
      <c r="L93" s="3">
        <f t="shared" si="192"/>
        <v>16.752624713509913</v>
      </c>
      <c r="M93" s="3">
        <f t="shared" si="193"/>
        <v>19.915608848392367</v>
      </c>
      <c r="N93" s="3">
        <f t="shared" si="194"/>
        <v>22.657151712818681</v>
      </c>
      <c r="O93" s="3">
        <f t="shared" si="195"/>
        <v>24.960207816514689</v>
      </c>
      <c r="P93" s="3">
        <f t="shared" si="196"/>
        <v>26.82100580652321</v>
      </c>
      <c r="Q93" s="3">
        <f t="shared" si="197"/>
        <v>28.245544866769716</v>
      </c>
      <c r="R93" s="3">
        <f t="shared" si="198"/>
        <v>29.246591680965352</v>
      </c>
      <c r="S93" s="3">
        <f t="shared" si="199"/>
        <v>29.841132941966698</v>
      </c>
      <c r="T93" s="3">
        <f t="shared" si="200"/>
        <v>30.04821814926752</v>
      </c>
      <c r="U93" s="3">
        <f t="shared" si="201"/>
        <v>29.887148703116257</v>
      </c>
      <c r="V93" s="3">
        <f t="shared" si="202"/>
        <v>29.376001133346271</v>
      </c>
      <c r="W93" s="3">
        <f t="shared" si="203"/>
        <v>28.530501914763128</v>
      </c>
      <c r="X93" s="3">
        <f t="shared" si="204"/>
        <v>27.363295944677603</v>
      </c>
      <c r="Y93" s="3">
        <f t="shared" si="205"/>
        <v>25.883672241128071</v>
      </c>
      <c r="Z93" s="3">
        <f t="shared" si="206"/>
        <v>24.097831750274885</v>
      </c>
      <c r="AA93" s="3">
        <f t="shared" si="207"/>
        <v>22.009804582657029</v>
      </c>
      <c r="AB93" s="3">
        <f t="shared" si="208"/>
        <v>19.623143453104916</v>
      </c>
      <c r="AC93" s="3">
        <f t="shared" si="209"/>
        <v>16.943521524387897</v>
      </c>
      <c r="AD93" s="3">
        <f t="shared" si="210"/>
        <v>13.982311658884987</v>
      </c>
      <c r="AE93" s="3">
        <f t="shared" si="211"/>
        <v>10.761055908902506</v>
      </c>
      <c r="AF93" s="3">
        <f t="shared" si="212"/>
        <v>7.3163507198659135</v>
      </c>
      <c r="AG93" s="3">
        <f t="shared" si="213"/>
        <v>3.7039685496259791</v>
      </c>
      <c r="AH93" s="3">
        <v>0</v>
      </c>
      <c r="AI93"/>
      <c r="AJ93"/>
      <c r="AK93"/>
      <c r="AL93"/>
      <c r="AO93" s="19"/>
      <c r="AP93" s="3">
        <f t="shared" si="111"/>
        <v>0</v>
      </c>
      <c r="AQ93" s="3">
        <f t="shared" si="112"/>
        <v>-18504483.438976698</v>
      </c>
      <c r="AR93" s="3">
        <f t="shared" si="113"/>
        <v>-33266018.964252532</v>
      </c>
      <c r="AS93" s="3">
        <f t="shared" si="114"/>
        <v>-47141165.886276849</v>
      </c>
      <c r="AT93" s="3">
        <f t="shared" si="115"/>
        <v>-59843764.254289567</v>
      </c>
      <c r="AU93" s="3">
        <f t="shared" si="116"/>
        <v>-71171715.768106163</v>
      </c>
      <c r="AV93" s="3">
        <f t="shared" si="117"/>
        <v>-80998091.525304854</v>
      </c>
      <c r="AW93" s="3">
        <f t="shared" si="118"/>
        <v>-89257951.746271715</v>
      </c>
      <c r="AX93" s="3">
        <f t="shared" si="119"/>
        <v>-95934684.086413369</v>
      </c>
      <c r="AY93" s="3">
        <f t="shared" si="120"/>
        <v>-101047517.26740441</v>
      </c>
      <c r="AZ93" s="3">
        <f t="shared" si="121"/>
        <v>-104640670.57199438</v>
      </c>
      <c r="BA93" s="3">
        <f t="shared" si="122"/>
        <v>-106774087.50853288</v>
      </c>
      <c r="BB93" s="3">
        <f t="shared" si="123"/>
        <v>-107515573.61736257</v>
      </c>
      <c r="BC93" s="3">
        <f t="shared" si="124"/>
        <v>-106934202.88731924</v>
      </c>
      <c r="BD93" s="3">
        <f t="shared" si="125"/>
        <v>-105094956.32561232</v>
      </c>
      <c r="BE93" s="3">
        <f t="shared" si="126"/>
        <v>-102054656.94135648</v>
      </c>
      <c r="BF93" s="3">
        <f t="shared" si="127"/>
        <v>-97859352.795213372</v>
      </c>
      <c r="BG93" s="3">
        <f t="shared" si="128"/>
        <v>-92543377.091653928</v>
      </c>
      <c r="BH93" s="3">
        <f t="shared" si="129"/>
        <v>-86130389.402876645</v>
      </c>
      <c r="BI93" s="3">
        <f t="shared" si="130"/>
        <v>-78636775.925394431</v>
      </c>
      <c r="BJ93" s="3">
        <f t="shared" si="131"/>
        <v>-70077839.134500086</v>
      </c>
      <c r="BK93" s="3">
        <f t="shared" si="132"/>
        <v>-60477176.750416294</v>
      </c>
      <c r="BL93" s="3">
        <f t="shared" si="133"/>
        <v>-49879405.193156689</v>
      </c>
      <c r="BM93" s="3">
        <f t="shared" si="134"/>
        <v>-38365695.565120481</v>
      </c>
      <c r="BN93" s="3">
        <f t="shared" si="135"/>
        <v>-26070146.584168788</v>
      </c>
      <c r="BO93" s="3">
        <f t="shared" si="136"/>
        <v>-13192562.274100792</v>
      </c>
      <c r="BP93" s="3">
        <f t="shared" si="137"/>
        <v>0</v>
      </c>
      <c r="BW93" s="19"/>
      <c r="BX93" s="3">
        <v>1</v>
      </c>
      <c r="BY93" s="3">
        <f t="shared" si="138"/>
        <v>0.17990274775391843</v>
      </c>
      <c r="BZ93" s="3">
        <f t="shared" si="139"/>
        <v>0.17990274775391843</v>
      </c>
      <c r="CA93" s="3">
        <f t="shared" si="140"/>
        <v>0.17990274775391843</v>
      </c>
      <c r="CB93" s="3">
        <f t="shared" si="141"/>
        <v>0.17990274775391843</v>
      </c>
      <c r="CC93" s="3">
        <f t="shared" si="142"/>
        <v>0.17990274775391843</v>
      </c>
      <c r="CD93" s="3">
        <f t="shared" si="143"/>
        <v>0.17990274775391843</v>
      </c>
      <c r="CE93" s="3">
        <f t="shared" si="144"/>
        <v>0.17990274775391843</v>
      </c>
      <c r="CF93" s="3">
        <f t="shared" si="145"/>
        <v>0.17990274775391843</v>
      </c>
      <c r="CG93" s="3">
        <f t="shared" si="146"/>
        <v>0.17990274775391843</v>
      </c>
      <c r="CH93" s="3">
        <f t="shared" si="147"/>
        <v>0.17990274775391843</v>
      </c>
      <c r="CI93" s="3">
        <f t="shared" si="148"/>
        <v>0.17990274775391843</v>
      </c>
      <c r="CJ93" s="3">
        <f t="shared" si="149"/>
        <v>0.17990274775391843</v>
      </c>
      <c r="CK93" s="3">
        <f t="shared" si="150"/>
        <v>0.17990274775391843</v>
      </c>
      <c r="CL93" s="3">
        <f t="shared" si="151"/>
        <v>0.17990274775391843</v>
      </c>
      <c r="CM93" s="3">
        <f t="shared" si="152"/>
        <v>0.17990274775391843</v>
      </c>
      <c r="CN93" s="3">
        <f t="shared" si="153"/>
        <v>0.17990274775391843</v>
      </c>
      <c r="CO93" s="3">
        <f t="shared" si="154"/>
        <v>0.17990274775391843</v>
      </c>
      <c r="CP93" s="3">
        <f t="shared" si="155"/>
        <v>0.17990274775391843</v>
      </c>
      <c r="CQ93" s="3">
        <f t="shared" si="156"/>
        <v>0.17990274775391843</v>
      </c>
      <c r="CR93" s="3">
        <f t="shared" si="157"/>
        <v>0.17990274775391843</v>
      </c>
      <c r="CS93" s="3">
        <f t="shared" si="158"/>
        <v>0.17990274775391843</v>
      </c>
      <c r="CT93" s="3">
        <f t="shared" si="159"/>
        <v>0.17990274775391843</v>
      </c>
      <c r="CU93" s="3">
        <f t="shared" si="160"/>
        <v>0.17990274775391843</v>
      </c>
      <c r="CV93" s="3">
        <f t="shared" si="161"/>
        <v>0.17990274775391843</v>
      </c>
      <c r="CW93" s="3">
        <f t="shared" si="162"/>
        <v>0.17990274775391843</v>
      </c>
      <c r="CX93" s="3">
        <f t="shared" si="163"/>
        <v>0.17990274775391843</v>
      </c>
      <c r="DE93" s="19"/>
      <c r="DF93" s="3">
        <v>0</v>
      </c>
      <c r="DG93" s="3">
        <f t="shared" si="164"/>
        <v>4.2638407325527794</v>
      </c>
      <c r="DH93" s="3">
        <f t="shared" si="165"/>
        <v>7.6601532666356915</v>
      </c>
      <c r="DI93" s="3">
        <f t="shared" si="166"/>
        <v>10.845645797977355</v>
      </c>
      <c r="DJ93" s="3">
        <f t="shared" si="167"/>
        <v>13.755022479568813</v>
      </c>
      <c r="DK93" s="3">
        <f t="shared" si="168"/>
        <v>16.34360119046713</v>
      </c>
      <c r="DL93" s="3">
        <f t="shared" si="169"/>
        <v>18.584455688662949</v>
      </c>
      <c r="DM93" s="3">
        <f t="shared" si="170"/>
        <v>20.464846161140819</v>
      </c>
      <c r="DN93" s="3">
        <f t="shared" si="171"/>
        <v>21.982796298177874</v>
      </c>
      <c r="DO93" s="3">
        <f t="shared" si="172"/>
        <v>23.144121252997746</v>
      </c>
      <c r="DP93" s="3">
        <f t="shared" si="173"/>
        <v>23.959937276573022</v>
      </c>
      <c r="DQ93" s="3">
        <f t="shared" si="174"/>
        <v>24.444585883165743</v>
      </c>
      <c r="DR93" s="3">
        <f t="shared" si="175"/>
        <v>24.613895947510848</v>
      </c>
      <c r="DS93" s="3">
        <f t="shared" si="176"/>
        <v>24.483732175905828</v>
      </c>
      <c r="DT93" s="3">
        <f t="shared" si="177"/>
        <v>24.068810592126621</v>
      </c>
      <c r="DU93" s="3">
        <f t="shared" si="178"/>
        <v>23.381790364530929</v>
      </c>
      <c r="DV93" s="3">
        <f t="shared" si="179"/>
        <v>22.43267475015265</v>
      </c>
      <c r="DW93" s="3">
        <f t="shared" si="180"/>
        <v>21.22857446913212</v>
      </c>
      <c r="DX93" s="3">
        <f t="shared" si="181"/>
        <v>19.773907762117364</v>
      </c>
      <c r="DY93" s="3">
        <f t="shared" si="182"/>
        <v>18.071134552843105</v>
      </c>
      <c r="DZ93" s="3">
        <f t="shared" si="183"/>
        <v>16.122144701927379</v>
      </c>
      <c r="EA93" s="3">
        <f t="shared" si="184"/>
        <v>13.93042961106369</v>
      </c>
      <c r="EB93" s="3">
        <f t="shared" si="185"/>
        <v>11.504131720655485</v>
      </c>
      <c r="EC93" s="3">
        <f t="shared" si="186"/>
        <v>8.8599287101797017</v>
      </c>
      <c r="ED93" s="3">
        <f t="shared" si="187"/>
        <v>6.0273753709299083</v>
      </c>
      <c r="EE93" s="3">
        <f t="shared" si="188"/>
        <v>3.0526894832331406</v>
      </c>
      <c r="EF93" s="3">
        <v>0</v>
      </c>
    </row>
    <row r="94" spans="7:136" x14ac:dyDescent="0.3">
      <c r="G94" s="13"/>
      <c r="H94" s="3">
        <v>0</v>
      </c>
      <c r="I94" s="3">
        <f t="shared" si="189"/>
        <v>5.3533814992823734</v>
      </c>
      <c r="J94" s="3">
        <f t="shared" si="190"/>
        <v>9.5951760861530975</v>
      </c>
      <c r="K94" s="3">
        <f t="shared" si="191"/>
        <v>13.543301962387641</v>
      </c>
      <c r="L94" s="3">
        <f t="shared" si="192"/>
        <v>17.118652537396802</v>
      </c>
      <c r="M94" s="3">
        <f t="shared" si="193"/>
        <v>20.273463782474956</v>
      </c>
      <c r="N94" s="3">
        <f t="shared" si="194"/>
        <v>22.984154922110427</v>
      </c>
      <c r="O94" s="3">
        <f t="shared" si="195"/>
        <v>25.244507432938281</v>
      </c>
      <c r="P94" s="3">
        <f t="shared" si="196"/>
        <v>27.060166381931161</v>
      </c>
      <c r="Q94" s="3">
        <f t="shared" si="197"/>
        <v>28.444499838367715</v>
      </c>
      <c r="R94" s="3">
        <f t="shared" si="198"/>
        <v>29.415521295219989</v>
      </c>
      <c r="S94" s="3">
        <f t="shared" si="199"/>
        <v>29.993547636751174</v>
      </c>
      <c r="T94" s="3">
        <f t="shared" si="200"/>
        <v>30.199342708853958</v>
      </c>
      <c r="U94" s="3">
        <f t="shared" si="201"/>
        <v>30.052593206464181</v>
      </c>
      <c r="V94" s="3">
        <f t="shared" si="202"/>
        <v>29.570645067030977</v>
      </c>
      <c r="W94" s="3">
        <f t="shared" si="203"/>
        <v>28.767488395802474</v>
      </c>
      <c r="X94" s="3">
        <f t="shared" si="204"/>
        <v>27.653022666719693</v>
      </c>
      <c r="Y94" s="3">
        <f t="shared" si="205"/>
        <v>26.232671400075706</v>
      </c>
      <c r="Z94" s="3">
        <f t="shared" si="206"/>
        <v>24.50745748534516</v>
      </c>
      <c r="AA94" s="3">
        <f t="shared" si="207"/>
        <v>22.474706235194258</v>
      </c>
      <c r="AB94" s="3">
        <f t="shared" si="208"/>
        <v>20.129617514835402</v>
      </c>
      <c r="AC94" s="3">
        <f t="shared" si="209"/>
        <v>17.468031820959766</v>
      </c>
      <c r="AD94" s="3">
        <f t="shared" si="210"/>
        <v>14.49076800229302</v>
      </c>
      <c r="AE94" s="3">
        <f t="shared" si="211"/>
        <v>11.209830410611445</v>
      </c>
      <c r="AF94" s="3">
        <f t="shared" si="212"/>
        <v>7.6563627907643745</v>
      </c>
      <c r="AG94" s="3">
        <f t="shared" si="213"/>
        <v>3.8891202738920359</v>
      </c>
      <c r="AH94" s="3">
        <v>0</v>
      </c>
      <c r="AI94"/>
      <c r="AJ94"/>
      <c r="AK94"/>
      <c r="AL94"/>
      <c r="AO94" s="19"/>
      <c r="AP94" s="3">
        <f t="shared" si="111"/>
        <v>0</v>
      </c>
      <c r="AQ94" s="3">
        <f t="shared" si="112"/>
        <v>-19078041.139401153</v>
      </c>
      <c r="AR94" s="3">
        <f t="shared" si="113"/>
        <v>-34215323.147478476</v>
      </c>
      <c r="AS94" s="3">
        <f t="shared" si="114"/>
        <v>-48327933.167691208</v>
      </c>
      <c r="AT94" s="3">
        <f t="shared" si="115"/>
        <v>-61127940.3164519</v>
      </c>
      <c r="AU94" s="3">
        <f t="shared" si="116"/>
        <v>-72437038.427997246</v>
      </c>
      <c r="AV94" s="3">
        <f t="shared" si="117"/>
        <v>-82163877.54788053</v>
      </c>
      <c r="AW94" s="3">
        <f t="shared" si="118"/>
        <v>-90280776.556478307</v>
      </c>
      <c r="AX94" s="3">
        <f t="shared" si="119"/>
        <v>-96804176.120484635</v>
      </c>
      <c r="AY94" s="3">
        <f t="shared" si="120"/>
        <v>-101779547.47524779</v>
      </c>
      <c r="AZ94" s="3">
        <f t="shared" si="121"/>
        <v>-105270014.15029341</v>
      </c>
      <c r="BA94" s="3">
        <f t="shared" si="122"/>
        <v>-107347646.87263089</v>
      </c>
      <c r="BB94" s="3">
        <f t="shared" si="123"/>
        <v>-108086575.26559508</v>
      </c>
      <c r="BC94" s="3">
        <f t="shared" si="124"/>
        <v>-107557366.71531941</v>
      </c>
      <c r="BD94" s="3">
        <f t="shared" si="125"/>
        <v>-105822403.7943386</v>
      </c>
      <c r="BE94" s="3">
        <f t="shared" si="126"/>
        <v>-102932208.03288989</v>
      </c>
      <c r="BF94" s="3">
        <f t="shared" si="127"/>
        <v>-98922821.397874922</v>
      </c>
      <c r="BG94" s="3">
        <f t="shared" si="128"/>
        <v>-93814499.105119407</v>
      </c>
      <c r="BH94" s="3">
        <f t="shared" si="129"/>
        <v>-87612124.321583554</v>
      </c>
      <c r="BI94" s="3">
        <f t="shared" si="130"/>
        <v>-80307956.524421349</v>
      </c>
      <c r="BJ94" s="3">
        <f t="shared" si="131"/>
        <v>-71887577.549329922</v>
      </c>
      <c r="BK94" s="3">
        <f t="shared" si="132"/>
        <v>-62340152.768847592</v>
      </c>
      <c r="BL94" s="3">
        <f t="shared" si="133"/>
        <v>-51674207.799128838</v>
      </c>
      <c r="BM94" s="3">
        <f t="shared" si="134"/>
        <v>-39939635.375946224</v>
      </c>
      <c r="BN94" s="3">
        <f t="shared" si="135"/>
        <v>-27254847.346006613</v>
      </c>
      <c r="BO94" s="3">
        <f t="shared" si="136"/>
        <v>-13833783.40773874</v>
      </c>
      <c r="BP94" s="3">
        <f t="shared" si="137"/>
        <v>0</v>
      </c>
      <c r="BW94" s="19"/>
      <c r="BX94" s="3">
        <v>1</v>
      </c>
      <c r="BY94" s="3">
        <f t="shared" si="138"/>
        <v>0.17990274775391188</v>
      </c>
      <c r="BZ94" s="3">
        <f t="shared" si="139"/>
        <v>0.17990274775391188</v>
      </c>
      <c r="CA94" s="3">
        <f t="shared" si="140"/>
        <v>0.17990274775391188</v>
      </c>
      <c r="CB94" s="3">
        <f t="shared" si="141"/>
        <v>0.17990274775391188</v>
      </c>
      <c r="CC94" s="3">
        <f t="shared" si="142"/>
        <v>0.17990274775391188</v>
      </c>
      <c r="CD94" s="3">
        <f t="shared" si="143"/>
        <v>0.17990274775391188</v>
      </c>
      <c r="CE94" s="3">
        <f t="shared" si="144"/>
        <v>0.17990274775391188</v>
      </c>
      <c r="CF94" s="3">
        <f t="shared" si="145"/>
        <v>0.17990274775391188</v>
      </c>
      <c r="CG94" s="3">
        <f t="shared" si="146"/>
        <v>0.17990274775391188</v>
      </c>
      <c r="CH94" s="3">
        <f t="shared" si="147"/>
        <v>0.17990274775391188</v>
      </c>
      <c r="CI94" s="3">
        <f t="shared" si="148"/>
        <v>0.17990274775391188</v>
      </c>
      <c r="CJ94" s="3">
        <f t="shared" si="149"/>
        <v>0.17990274775391188</v>
      </c>
      <c r="CK94" s="3">
        <f t="shared" si="150"/>
        <v>0.17990274775391188</v>
      </c>
      <c r="CL94" s="3">
        <f t="shared" si="151"/>
        <v>0.17990274775391188</v>
      </c>
      <c r="CM94" s="3">
        <f t="shared" si="152"/>
        <v>0.17990274775391188</v>
      </c>
      <c r="CN94" s="3">
        <f t="shared" si="153"/>
        <v>0.17990274775391188</v>
      </c>
      <c r="CO94" s="3">
        <f t="shared" si="154"/>
        <v>0.17990274775391188</v>
      </c>
      <c r="CP94" s="3">
        <f t="shared" si="155"/>
        <v>0.17990274775391188</v>
      </c>
      <c r="CQ94" s="3">
        <f t="shared" si="156"/>
        <v>0.17990274775391188</v>
      </c>
      <c r="CR94" s="3">
        <f t="shared" si="157"/>
        <v>0.17990274775391188</v>
      </c>
      <c r="CS94" s="3">
        <f t="shared" si="158"/>
        <v>0.17990274775391188</v>
      </c>
      <c r="CT94" s="3">
        <f t="shared" si="159"/>
        <v>0.17990274775391188</v>
      </c>
      <c r="CU94" s="3">
        <f t="shared" si="160"/>
        <v>0.17990274775391188</v>
      </c>
      <c r="CV94" s="3">
        <f t="shared" si="161"/>
        <v>0.17990274775391188</v>
      </c>
      <c r="CW94" s="3">
        <f t="shared" si="162"/>
        <v>0.17990274775391188</v>
      </c>
      <c r="CX94" s="3">
        <f t="shared" si="163"/>
        <v>0.17990274775391188</v>
      </c>
      <c r="DE94" s="19"/>
      <c r="DF94" s="3">
        <v>0</v>
      </c>
      <c r="DG94" s="3">
        <f t="shared" si="164"/>
        <v>4.4203468371361216</v>
      </c>
      <c r="DH94" s="3">
        <f t="shared" si="165"/>
        <v>7.9183943197883817</v>
      </c>
      <c r="DI94" s="3">
        <f t="shared" si="166"/>
        <v>11.168145425562322</v>
      </c>
      <c r="DJ94" s="3">
        <f t="shared" si="167"/>
        <v>14.104809319346279</v>
      </c>
      <c r="DK94" s="3">
        <f t="shared" si="168"/>
        <v>16.690591027457049</v>
      </c>
      <c r="DL94" s="3">
        <f t="shared" si="169"/>
        <v>18.908071072697098</v>
      </c>
      <c r="DM94" s="3">
        <f t="shared" si="170"/>
        <v>20.754097462238619</v>
      </c>
      <c r="DN94" s="3">
        <f t="shared" si="171"/>
        <v>22.234993739814012</v>
      </c>
      <c r="DO94" s="3">
        <f t="shared" si="172"/>
        <v>23.363048705029442</v>
      </c>
      <c r="DP94" s="3">
        <f t="shared" si="173"/>
        <v>24.153979089377621</v>
      </c>
      <c r="DQ94" s="3">
        <f t="shared" si="174"/>
        <v>24.625045824401589</v>
      </c>
      <c r="DR94" s="3">
        <f t="shared" si="175"/>
        <v>24.793585698691768</v>
      </c>
      <c r="DS94" s="3">
        <f t="shared" si="176"/>
        <v>24.675813032243802</v>
      </c>
      <c r="DT94" s="3">
        <f t="shared" si="177"/>
        <v>24.285821745119954</v>
      </c>
      <c r="DU94" s="3">
        <f t="shared" si="178"/>
        <v>23.634772706538342</v>
      </c>
      <c r="DV94" s="3">
        <f t="shared" si="179"/>
        <v>22.730290538668719</v>
      </c>
      <c r="DW94" s="3">
        <f t="shared" si="180"/>
        <v>21.576127641935113</v>
      </c>
      <c r="DX94" s="3">
        <f t="shared" si="181"/>
        <v>20.172191338559248</v>
      </c>
      <c r="DY94" s="3">
        <f t="shared" si="182"/>
        <v>18.515081913247617</v>
      </c>
      <c r="DZ94" s="3">
        <f t="shared" si="183"/>
        <v>16.599360088052642</v>
      </c>
      <c r="EA94" s="3">
        <f t="shared" si="184"/>
        <v>14.419845742094832</v>
      </c>
      <c r="EB94" s="3">
        <f t="shared" si="185"/>
        <v>11.975311714908054</v>
      </c>
      <c r="EC94" s="3">
        <f t="shared" si="186"/>
        <v>9.2738868838664157</v>
      </c>
      <c r="ED94" s="3">
        <f t="shared" si="187"/>
        <v>6.3401311927291859</v>
      </c>
      <c r="EE94" s="3">
        <f t="shared" si="188"/>
        <v>3.2227661542202504</v>
      </c>
      <c r="EF94" s="3">
        <v>0</v>
      </c>
    </row>
    <row r="95" spans="7:136" x14ac:dyDescent="0.3">
      <c r="G95" s="13"/>
      <c r="H95" s="3">
        <v>0</v>
      </c>
      <c r="I95" s="3">
        <f t="shared" si="189"/>
        <v>5.6557736179366085</v>
      </c>
      <c r="J95" s="3">
        <f t="shared" si="190"/>
        <v>10.090928013326742</v>
      </c>
      <c r="K95" s="3">
        <f t="shared" si="191"/>
        <v>14.160721845459616</v>
      </c>
      <c r="L95" s="3">
        <f t="shared" si="192"/>
        <v>17.790785120814878</v>
      </c>
      <c r="M95" s="3">
        <f t="shared" si="193"/>
        <v>20.94822274929945</v>
      </c>
      <c r="N95" s="3">
        <f t="shared" si="194"/>
        <v>23.627145979675745</v>
      </c>
      <c r="O95" s="3">
        <f t="shared" si="195"/>
        <v>25.837757462858704</v>
      </c>
      <c r="P95" s="3">
        <f t="shared" si="196"/>
        <v>27.599092451147143</v>
      </c>
      <c r="Q95" s="3">
        <f t="shared" si="197"/>
        <v>28.934485856146072</v>
      </c>
      <c r="R95" s="3">
        <f t="shared" si="198"/>
        <v>29.868770137843921</v>
      </c>
      <c r="S95" s="3">
        <f t="shared" si="199"/>
        <v>30.426453274301522</v>
      </c>
      <c r="T95" s="3">
        <f t="shared" si="200"/>
        <v>30.630400073632163</v>
      </c>
      <c r="U95" s="3">
        <f t="shared" si="201"/>
        <v>30.500753872243287</v>
      </c>
      <c r="V95" s="3">
        <f t="shared" si="202"/>
        <v>30.053978571073966</v>
      </c>
      <c r="W95" s="3">
        <f t="shared" si="203"/>
        <v>29.301989243078012</v>
      </c>
      <c r="X95" s="3">
        <f t="shared" si="204"/>
        <v>28.251395367093952</v>
      </c>
      <c r="Y95" s="3">
        <f t="shared" si="205"/>
        <v>26.902925976395746</v>
      </c>
      <c r="Z95" s="3">
        <f t="shared" si="206"/>
        <v>25.251161995854417</v>
      </c>
      <c r="AA95" s="3">
        <f t="shared" si="207"/>
        <v>23.284789843531701</v>
      </c>
      <c r="AB95" s="3">
        <f t="shared" si="208"/>
        <v>20.987734200772991</v>
      </c>
      <c r="AC95" s="3">
        <f t="shared" si="209"/>
        <v>18.341741728867365</v>
      </c>
      <c r="AD95" s="3">
        <f t="shared" si="210"/>
        <v>15.331255362436071</v>
      </c>
      <c r="AE95" s="3">
        <f t="shared" si="211"/>
        <v>11.951634589752077</v>
      </c>
      <c r="AF95" s="3">
        <f t="shared" si="212"/>
        <v>8.2216227408464384</v>
      </c>
      <c r="AG95" s="3">
        <f t="shared" si="213"/>
        <v>4.1997002324500476</v>
      </c>
      <c r="AH95" s="3">
        <v>0</v>
      </c>
      <c r="AI95"/>
      <c r="AJ95"/>
      <c r="AK95"/>
      <c r="AL95"/>
      <c r="AO95" s="19"/>
      <c r="AP95" s="3">
        <f t="shared" si="111"/>
        <v>0</v>
      </c>
      <c r="AQ95" s="3">
        <f t="shared" si="112"/>
        <v>-20114407.004174303</v>
      </c>
      <c r="AR95" s="3">
        <f t="shared" si="113"/>
        <v>-35928844.51568497</v>
      </c>
      <c r="AS95" s="3">
        <f t="shared" si="114"/>
        <v>-50479999.148579933</v>
      </c>
      <c r="AT95" s="3">
        <f t="shared" si="115"/>
        <v>-63488738.955739774</v>
      </c>
      <c r="AU95" s="3">
        <f t="shared" si="116"/>
        <v>-74823437.972945496</v>
      </c>
      <c r="AV95" s="3">
        <f t="shared" si="117"/>
        <v>-84452185.141869143</v>
      </c>
      <c r="AW95" s="3">
        <f t="shared" si="118"/>
        <v>-92404307.971008584</v>
      </c>
      <c r="AX95" s="3">
        <f t="shared" si="119"/>
        <v>-98743706.68512705</v>
      </c>
      <c r="AY95" s="3">
        <f t="shared" si="120"/>
        <v>-103551707.36826065</v>
      </c>
      <c r="AZ95" s="3">
        <f t="shared" si="121"/>
        <v>-106916257.63103533</v>
      </c>
      <c r="BA95" s="3">
        <f t="shared" si="122"/>
        <v>-108924857.57320681</v>
      </c>
      <c r="BB95" s="3">
        <f t="shared" si="123"/>
        <v>-109659488.22338052</v>
      </c>
      <c r="BC95" s="3">
        <f t="shared" si="124"/>
        <v>-109192541.56061637</v>
      </c>
      <c r="BD95" s="3">
        <f t="shared" si="125"/>
        <v>-107583277.30190623</v>
      </c>
      <c r="BE95" s="3">
        <f t="shared" si="126"/>
        <v>-104874666.15327428</v>
      </c>
      <c r="BF95" s="3">
        <f t="shared" si="127"/>
        <v>-101090698.54822993</v>
      </c>
      <c r="BG95" s="3">
        <f t="shared" si="128"/>
        <v>-96234419.151121303</v>
      </c>
      <c r="BH95" s="3">
        <f t="shared" si="129"/>
        <v>-90287167.501826271</v>
      </c>
      <c r="BI95" s="3">
        <f t="shared" si="130"/>
        <v>-83209841.397951305</v>
      </c>
      <c r="BJ95" s="3">
        <f t="shared" si="131"/>
        <v>-74947522.002771854</v>
      </c>
      <c r="BK95" s="3">
        <f t="shared" si="132"/>
        <v>-65439534.751524158</v>
      </c>
      <c r="BL95" s="3">
        <f t="shared" si="133"/>
        <v>-54637848.535352059</v>
      </c>
      <c r="BM95" s="3">
        <f t="shared" si="134"/>
        <v>-42537141.531404525</v>
      </c>
      <c r="BN95" s="3">
        <f t="shared" si="135"/>
        <v>-29218582.232010342</v>
      </c>
      <c r="BO95" s="3">
        <f t="shared" si="136"/>
        <v>-14903673.437134795</v>
      </c>
      <c r="BP95" s="3">
        <f t="shared" si="137"/>
        <v>0</v>
      </c>
      <c r="BW95" s="19"/>
      <c r="BX95" s="3">
        <v>1</v>
      </c>
      <c r="BY95" s="3">
        <f t="shared" si="138"/>
        <v>0.1799027477537091</v>
      </c>
      <c r="BZ95" s="3">
        <f t="shared" si="139"/>
        <v>0.1799027477537091</v>
      </c>
      <c r="CA95" s="3">
        <f t="shared" si="140"/>
        <v>0.1799027477537091</v>
      </c>
      <c r="CB95" s="3">
        <f t="shared" si="141"/>
        <v>0.1799027477537091</v>
      </c>
      <c r="CC95" s="3">
        <f t="shared" si="142"/>
        <v>0.1799027477537091</v>
      </c>
      <c r="CD95" s="3">
        <f t="shared" si="143"/>
        <v>0.1799027477537091</v>
      </c>
      <c r="CE95" s="3">
        <f t="shared" si="144"/>
        <v>0.1799027477537091</v>
      </c>
      <c r="CF95" s="3">
        <f t="shared" si="145"/>
        <v>0.1799027477537091</v>
      </c>
      <c r="CG95" s="3">
        <f t="shared" si="146"/>
        <v>0.1799027477537091</v>
      </c>
      <c r="CH95" s="3">
        <f t="shared" si="147"/>
        <v>0.1799027477537091</v>
      </c>
      <c r="CI95" s="3">
        <f t="shared" si="148"/>
        <v>0.1799027477537091</v>
      </c>
      <c r="CJ95" s="3">
        <f t="shared" si="149"/>
        <v>0.1799027477537091</v>
      </c>
      <c r="CK95" s="3">
        <f t="shared" si="150"/>
        <v>0.1799027477537091</v>
      </c>
      <c r="CL95" s="3">
        <f t="shared" si="151"/>
        <v>0.1799027477537091</v>
      </c>
      <c r="CM95" s="3">
        <f t="shared" si="152"/>
        <v>0.1799027477537091</v>
      </c>
      <c r="CN95" s="3">
        <f t="shared" si="153"/>
        <v>0.1799027477537091</v>
      </c>
      <c r="CO95" s="3">
        <f t="shared" si="154"/>
        <v>0.1799027477537091</v>
      </c>
      <c r="CP95" s="3">
        <f t="shared" si="155"/>
        <v>0.1799027477537091</v>
      </c>
      <c r="CQ95" s="3">
        <f t="shared" si="156"/>
        <v>0.1799027477537091</v>
      </c>
      <c r="CR95" s="3">
        <f t="shared" si="157"/>
        <v>0.1799027477537091</v>
      </c>
      <c r="CS95" s="3">
        <f t="shared" si="158"/>
        <v>0.1799027477537091</v>
      </c>
      <c r="CT95" s="3">
        <f t="shared" si="159"/>
        <v>0.1799027477537091</v>
      </c>
      <c r="CU95" s="3">
        <f t="shared" si="160"/>
        <v>0.1799027477537091</v>
      </c>
      <c r="CV95" s="3">
        <f t="shared" si="161"/>
        <v>0.1799027477537091</v>
      </c>
      <c r="CW95" s="3">
        <f t="shared" si="162"/>
        <v>0.1799027477537091</v>
      </c>
      <c r="CX95" s="3">
        <f t="shared" si="163"/>
        <v>0.1799027477537091</v>
      </c>
      <c r="DE95" s="19"/>
      <c r="DF95" s="3">
        <v>0</v>
      </c>
      <c r="DG95" s="3">
        <f t="shared" si="164"/>
        <v>4.6926855764418383</v>
      </c>
      <c r="DH95" s="3">
        <f t="shared" si="165"/>
        <v>8.36472947024712</v>
      </c>
      <c r="DI95" s="3">
        <f t="shared" si="166"/>
        <v>11.724244608767879</v>
      </c>
      <c r="DJ95" s="3">
        <f t="shared" si="167"/>
        <v>14.71109249149619</v>
      </c>
      <c r="DK95" s="3">
        <f t="shared" si="168"/>
        <v>17.300970908346901</v>
      </c>
      <c r="DL95" s="3">
        <f t="shared" si="169"/>
        <v>19.492233354391143</v>
      </c>
      <c r="DM95" s="3">
        <f t="shared" si="170"/>
        <v>21.296201209984176</v>
      </c>
      <c r="DN95" s="3">
        <f t="shared" si="171"/>
        <v>22.730894164365182</v>
      </c>
      <c r="DO95" s="3">
        <f t="shared" si="172"/>
        <v>23.817242176743786</v>
      </c>
      <c r="DP95" s="3">
        <f t="shared" si="173"/>
        <v>24.576837030226102</v>
      </c>
      <c r="DQ95" s="3">
        <f t="shared" si="174"/>
        <v>25.030531639568217</v>
      </c>
      <c r="DR95" s="3">
        <f t="shared" si="175"/>
        <v>25.197455339953397</v>
      </c>
      <c r="DS95" s="3">
        <f t="shared" si="176"/>
        <v>25.094209777275932</v>
      </c>
      <c r="DT95" s="3">
        <f t="shared" si="177"/>
        <v>24.734138270665429</v>
      </c>
      <c r="DU95" s="3">
        <f t="shared" si="178"/>
        <v>24.126639034700204</v>
      </c>
      <c r="DV95" s="3">
        <f t="shared" si="179"/>
        <v>23.27654060565548</v>
      </c>
      <c r="DW95" s="3">
        <f t="shared" si="180"/>
        <v>22.183596310601988</v>
      </c>
      <c r="DX95" s="3">
        <f t="shared" si="181"/>
        <v>20.842203053783617</v>
      </c>
      <c r="DY95" s="3">
        <f t="shared" si="182"/>
        <v>19.241528436862836</v>
      </c>
      <c r="DZ95" s="3">
        <f t="shared" si="183"/>
        <v>17.366360698622913</v>
      </c>
      <c r="EA95" s="3">
        <f t="shared" si="184"/>
        <v>15.199194806427476</v>
      </c>
      <c r="EB95" s="3">
        <f t="shared" si="185"/>
        <v>12.724326381762031</v>
      </c>
      <c r="EC95" s="3">
        <f t="shared" si="186"/>
        <v>9.9349552970299886</v>
      </c>
      <c r="ED95" s="3">
        <f t="shared" si="187"/>
        <v>6.8442220369886702</v>
      </c>
      <c r="EE95" s="3">
        <f t="shared" si="188"/>
        <v>3.5000368088322129</v>
      </c>
      <c r="EF95" s="3">
        <v>0</v>
      </c>
    </row>
    <row r="96" spans="7:136" x14ac:dyDescent="0.3">
      <c r="G96" s="13"/>
      <c r="H96" s="3">
        <v>0</v>
      </c>
      <c r="I96" s="3">
        <f t="shared" si="189"/>
        <v>6.1441601756899153</v>
      </c>
      <c r="J96" s="3">
        <f t="shared" si="190"/>
        <v>10.875718027542346</v>
      </c>
      <c r="K96" s="3">
        <f t="shared" si="191"/>
        <v>15.120595259111253</v>
      </c>
      <c r="L96" s="3">
        <f t="shared" si="192"/>
        <v>18.821966362288848</v>
      </c>
      <c r="M96" s="3">
        <f t="shared" si="193"/>
        <v>21.975973809960024</v>
      </c>
      <c r="N96" s="3">
        <f t="shared" si="194"/>
        <v>24.605655242666874</v>
      </c>
      <c r="O96" s="3">
        <f t="shared" si="195"/>
        <v>26.745219356221448</v>
      </c>
      <c r="P96" s="3">
        <f t="shared" si="196"/>
        <v>28.431674288265114</v>
      </c>
      <c r="Q96" s="3">
        <f t="shared" si="197"/>
        <v>29.700821997038751</v>
      </c>
      <c r="R96" s="3">
        <f t="shared" si="198"/>
        <v>30.585513442873854</v>
      </c>
      <c r="S96" s="3">
        <f t="shared" si="199"/>
        <v>31.114900444832966</v>
      </c>
      <c r="T96" s="3">
        <f t="shared" si="200"/>
        <v>31.314009104293397</v>
      </c>
      <c r="U96" s="3">
        <f t="shared" si="201"/>
        <v>31.203316775897317</v>
      </c>
      <c r="V96" s="3">
        <f t="shared" si="202"/>
        <v>30.798210231788943</v>
      </c>
      <c r="W96" s="3">
        <f t="shared" si="203"/>
        <v>30.108300886881196</v>
      </c>
      <c r="X96" s="3">
        <f t="shared" si="204"/>
        <v>29.136621043299911</v>
      </c>
      <c r="Y96" s="3">
        <f t="shared" si="205"/>
        <v>27.878758368860854</v>
      </c>
      <c r="Z96" s="3">
        <f t="shared" si="206"/>
        <v>26.322035799948054</v>
      </c>
      <c r="AA96" s="3">
        <f t="shared" si="207"/>
        <v>24.44494740880091</v>
      </c>
      <c r="AB96" s="3">
        <f t="shared" si="208"/>
        <v>22.217267571528339</v>
      </c>
      <c r="AC96" s="3">
        <f t="shared" si="209"/>
        <v>19.60162864094023</v>
      </c>
      <c r="AD96" s="3">
        <f t="shared" si="210"/>
        <v>16.557983423769684</v>
      </c>
      <c r="AE96" s="3">
        <f t="shared" si="211"/>
        <v>13.053243161826856</v>
      </c>
      <c r="AF96" s="3">
        <f t="shared" si="212"/>
        <v>9.0792497237800642</v>
      </c>
      <c r="AG96" s="3">
        <f t="shared" si="213"/>
        <v>4.682044157416267</v>
      </c>
      <c r="AH96" s="3">
        <v>0</v>
      </c>
      <c r="AI96"/>
      <c r="AJ96"/>
      <c r="AK96"/>
      <c r="AL96"/>
      <c r="AO96" s="19"/>
      <c r="AP96" s="3">
        <f t="shared" si="111"/>
        <v>0</v>
      </c>
      <c r="AQ96" s="3">
        <f t="shared" si="112"/>
        <v>-21776434.530715019</v>
      </c>
      <c r="AR96" s="3">
        <f t="shared" si="113"/>
        <v>-38633218.859835602</v>
      </c>
      <c r="AS96" s="3">
        <f t="shared" si="114"/>
        <v>-53823237.398246549</v>
      </c>
      <c r="AT96" s="3">
        <f t="shared" si="115"/>
        <v>-67111814.76306136</v>
      </c>
      <c r="AU96" s="3">
        <f t="shared" si="116"/>
        <v>-78460166.723013312</v>
      </c>
      <c r="AV96" s="3">
        <f t="shared" si="117"/>
        <v>-87934935.241330355</v>
      </c>
      <c r="AW96" s="3">
        <f t="shared" si="118"/>
        <v>-95650004.868226036</v>
      </c>
      <c r="AX96" s="3">
        <f t="shared" si="119"/>
        <v>-101733936.56204726</v>
      </c>
      <c r="AY96" s="3">
        <f t="shared" si="120"/>
        <v>-106313592.38811097</v>
      </c>
      <c r="AZ96" s="3">
        <f t="shared" si="121"/>
        <v>-109506572.46510178</v>
      </c>
      <c r="BA96" s="3">
        <f t="shared" si="122"/>
        <v>-111417771.13170685</v>
      </c>
      <c r="BB96" s="3">
        <f t="shared" si="123"/>
        <v>-112137436.02194473</v>
      </c>
      <c r="BC96" s="3">
        <f t="shared" si="124"/>
        <v>-111739442.24223635</v>
      </c>
      <c r="BD96" s="3">
        <f t="shared" si="125"/>
        <v>-110279251.383985</v>
      </c>
      <c r="BE96" s="3">
        <f t="shared" si="126"/>
        <v>-107791421.97137867</v>
      </c>
      <c r="BF96" s="3">
        <f t="shared" si="127"/>
        <v>-104286744.7730637</v>
      </c>
      <c r="BG96" s="3">
        <f t="shared" si="128"/>
        <v>-99749226.698740765</v>
      </c>
      <c r="BH96" s="3">
        <f t="shared" si="129"/>
        <v>-94133361.962904081</v>
      </c>
      <c r="BI96" s="3">
        <f t="shared" si="130"/>
        <v>-87362546.967767879</v>
      </c>
      <c r="BJ96" s="3">
        <f t="shared" si="131"/>
        <v>-79330295.291688412</v>
      </c>
      <c r="BK96" s="3">
        <f t="shared" si="132"/>
        <v>-69907310.452446148</v>
      </c>
      <c r="BL96" s="3">
        <f t="shared" si="133"/>
        <v>-58959648.04345829</v>
      </c>
      <c r="BM96" s="3">
        <f t="shared" si="134"/>
        <v>-46385941.474075444</v>
      </c>
      <c r="BN96" s="3">
        <f t="shared" si="135"/>
        <v>-32183500.367569827</v>
      </c>
      <c r="BO96" s="3">
        <f t="shared" si="136"/>
        <v>-16549232.491123114</v>
      </c>
      <c r="BP96" s="3">
        <f t="shared" si="137"/>
        <v>0</v>
      </c>
      <c r="BW96" s="19"/>
      <c r="BX96" s="3">
        <v>1</v>
      </c>
      <c r="BY96" s="3">
        <f t="shared" si="138"/>
        <v>0.17990274774744311</v>
      </c>
      <c r="BZ96" s="3">
        <f t="shared" si="139"/>
        <v>0.17990274774744311</v>
      </c>
      <c r="CA96" s="3">
        <f t="shared" si="140"/>
        <v>0.17990274774744311</v>
      </c>
      <c r="CB96" s="3">
        <f t="shared" si="141"/>
        <v>0.17990274774744311</v>
      </c>
      <c r="CC96" s="3">
        <f t="shared" si="142"/>
        <v>0.17990274774744311</v>
      </c>
      <c r="CD96" s="3">
        <f t="shared" si="143"/>
        <v>0.17990274774744311</v>
      </c>
      <c r="CE96" s="3">
        <f t="shared" si="144"/>
        <v>0.17990274774744311</v>
      </c>
      <c r="CF96" s="3">
        <f t="shared" si="145"/>
        <v>0.17990274774744311</v>
      </c>
      <c r="CG96" s="3">
        <f t="shared" si="146"/>
        <v>0.17990274774744311</v>
      </c>
      <c r="CH96" s="3">
        <f t="shared" si="147"/>
        <v>0.17990274774744311</v>
      </c>
      <c r="CI96" s="3">
        <f t="shared" si="148"/>
        <v>0.17990274774744311</v>
      </c>
      <c r="CJ96" s="3">
        <f t="shared" si="149"/>
        <v>0.17990274774744311</v>
      </c>
      <c r="CK96" s="3">
        <f t="shared" si="150"/>
        <v>0.17990274774744311</v>
      </c>
      <c r="CL96" s="3">
        <f t="shared" si="151"/>
        <v>0.17990274774744311</v>
      </c>
      <c r="CM96" s="3">
        <f t="shared" si="152"/>
        <v>0.17990274774744311</v>
      </c>
      <c r="CN96" s="3">
        <f t="shared" si="153"/>
        <v>0.17990274774744311</v>
      </c>
      <c r="CO96" s="3">
        <f t="shared" si="154"/>
        <v>0.17990274774744311</v>
      </c>
      <c r="CP96" s="3">
        <f t="shared" si="155"/>
        <v>0.17990274774744311</v>
      </c>
      <c r="CQ96" s="3">
        <f t="shared" si="156"/>
        <v>0.17990274774744311</v>
      </c>
      <c r="CR96" s="3">
        <f t="shared" si="157"/>
        <v>0.17990274774744311</v>
      </c>
      <c r="CS96" s="3">
        <f t="shared" si="158"/>
        <v>0.17990274774744311</v>
      </c>
      <c r="CT96" s="3">
        <f t="shared" si="159"/>
        <v>0.17990274774744311</v>
      </c>
      <c r="CU96" s="3">
        <f t="shared" si="160"/>
        <v>0.17990274774744311</v>
      </c>
      <c r="CV96" s="3">
        <f t="shared" si="161"/>
        <v>0.17990274774744311</v>
      </c>
      <c r="CW96" s="3">
        <f t="shared" si="162"/>
        <v>0.17990274774744311</v>
      </c>
      <c r="CX96" s="3">
        <f t="shared" si="163"/>
        <v>0.17990274774744311</v>
      </c>
      <c r="DE96" s="19"/>
      <c r="DF96" s="3">
        <v>0</v>
      </c>
      <c r="DG96" s="3">
        <f t="shared" si="164"/>
        <v>5.1266709611856216</v>
      </c>
      <c r="DH96" s="3">
        <f t="shared" si="165"/>
        <v>9.0603323506232183</v>
      </c>
      <c r="DI96" s="3">
        <f t="shared" si="166"/>
        <v>12.573042489025825</v>
      </c>
      <c r="DJ96" s="3">
        <f t="shared" si="167"/>
        <v>15.621355234469926</v>
      </c>
      <c r="DK96" s="3">
        <f t="shared" si="168"/>
        <v>18.207330976935555</v>
      </c>
      <c r="DL96" s="3">
        <f t="shared" si="169"/>
        <v>20.355066759493255</v>
      </c>
      <c r="DM96" s="3">
        <f t="shared" si="170"/>
        <v>22.096935793021164</v>
      </c>
      <c r="DN96" s="3">
        <f t="shared" si="171"/>
        <v>23.466521720968029</v>
      </c>
      <c r="DO96" s="3">
        <f t="shared" si="172"/>
        <v>24.495428486858543</v>
      </c>
      <c r="DP96" s="3">
        <f t="shared" si="173"/>
        <v>25.212039623238958</v>
      </c>
      <c r="DQ96" s="3">
        <f t="shared" si="174"/>
        <v>25.641097896576934</v>
      </c>
      <c r="DR96" s="3">
        <f t="shared" si="175"/>
        <v>25.803515966443488</v>
      </c>
      <c r="DS96" s="3">
        <f t="shared" si="176"/>
        <v>25.716147345912283</v>
      </c>
      <c r="DT96" s="3">
        <f t="shared" si="177"/>
        <v>25.391416906109963</v>
      </c>
      <c r="DU96" s="3">
        <f t="shared" si="178"/>
        <v>24.836792507585443</v>
      </c>
      <c r="DV96" s="3">
        <f t="shared" si="179"/>
        <v>24.054117389060327</v>
      </c>
      <c r="DW96" s="3">
        <f t="shared" si="180"/>
        <v>23.038848063261195</v>
      </c>
      <c r="DX96" s="3">
        <f t="shared" si="181"/>
        <v>21.779282373078033</v>
      </c>
      <c r="DY96" s="3">
        <f t="shared" si="182"/>
        <v>20.255949735227802</v>
      </c>
      <c r="DZ96" s="3">
        <f t="shared" si="183"/>
        <v>18.44151651981629</v>
      </c>
      <c r="EA96" s="3">
        <f t="shared" si="184"/>
        <v>16.301898905443053</v>
      </c>
      <c r="EB96" s="3">
        <f t="shared" si="185"/>
        <v>13.799848457649714</v>
      </c>
      <c r="EC96" s="3">
        <f t="shared" si="186"/>
        <v>10.903111259057072</v>
      </c>
      <c r="ED96" s="3">
        <f t="shared" si="187"/>
        <v>7.6001572017589254</v>
      </c>
      <c r="EE96" s="3">
        <f t="shared" si="188"/>
        <v>3.926506545882928</v>
      </c>
      <c r="EF96" s="3">
        <v>0</v>
      </c>
    </row>
    <row r="97" spans="7:136" x14ac:dyDescent="0.3">
      <c r="G97" s="13"/>
      <c r="H97" s="3">
        <v>0</v>
      </c>
      <c r="I97" s="3">
        <f t="shared" si="189"/>
        <v>6.9126314588418856</v>
      </c>
      <c r="J97" s="3">
        <f t="shared" si="190"/>
        <v>12.065672066222751</v>
      </c>
      <c r="K97" s="3">
        <f t="shared" si="191"/>
        <v>16.527936253249322</v>
      </c>
      <c r="L97" s="3">
        <f t="shared" si="192"/>
        <v>20.292219434626119</v>
      </c>
      <c r="M97" s="3">
        <f t="shared" si="193"/>
        <v>23.40969106404718</v>
      </c>
      <c r="N97" s="3">
        <f t="shared" si="194"/>
        <v>25.949003936041702</v>
      </c>
      <c r="O97" s="3">
        <f t="shared" si="195"/>
        <v>27.977600425473277</v>
      </c>
      <c r="P97" s="3">
        <f t="shared" si="196"/>
        <v>29.554862936858331</v>
      </c>
      <c r="Q97" s="3">
        <f t="shared" si="197"/>
        <v>30.730722736830185</v>
      </c>
      <c r="R97" s="3">
        <f t="shared" si="198"/>
        <v>31.546329698795201</v>
      </c>
      <c r="S97" s="3">
        <f t="shared" si="199"/>
        <v>32.0351693906752</v>
      </c>
      <c r="T97" s="3">
        <f t="shared" si="200"/>
        <v>32.223956187245065</v>
      </c>
      <c r="U97" s="3">
        <f t="shared" si="201"/>
        <v>32.133082230674844</v>
      </c>
      <c r="V97" s="3">
        <f t="shared" si="202"/>
        <v>31.776592666128465</v>
      </c>
      <c r="W97" s="3">
        <f t="shared" si="203"/>
        <v>31.161719431518407</v>
      </c>
      <c r="X97" s="3">
        <f t="shared" si="204"/>
        <v>30.288010521332566</v>
      </c>
      <c r="Y97" s="3">
        <f t="shared" si="205"/>
        <v>29.146080658769868</v>
      </c>
      <c r="Z97" s="3">
        <f t="shared" si="206"/>
        <v>27.716016131853248</v>
      </c>
      <c r="AA97" s="3">
        <f t="shared" si="207"/>
        <v>25.96553552636999</v>
      </c>
      <c r="AB97" s="3">
        <f t="shared" si="208"/>
        <v>23.848217473688059</v>
      </c>
      <c r="AC97" s="3">
        <f t="shared" si="209"/>
        <v>21.302600991796727</v>
      </c>
      <c r="AD97" s="3">
        <f t="shared" si="210"/>
        <v>18.253995186713983</v>
      </c>
      <c r="AE97" s="3">
        <f t="shared" si="211"/>
        <v>14.622779367491862</v>
      </c>
      <c r="AF97" s="3">
        <f t="shared" si="212"/>
        <v>10.346198277971679</v>
      </c>
      <c r="AG97" s="3">
        <f t="shared" si="213"/>
        <v>5.4248112570750839</v>
      </c>
      <c r="AH97" s="3">
        <v>0</v>
      </c>
      <c r="AI97"/>
      <c r="AJ97"/>
      <c r="AK97"/>
      <c r="AL97"/>
      <c r="AO97" s="19"/>
      <c r="AP97" s="3">
        <f t="shared" si="111"/>
        <v>0</v>
      </c>
      <c r="AQ97" s="3">
        <f t="shared" si="112"/>
        <v>-24360410.982576884</v>
      </c>
      <c r="AR97" s="3">
        <f t="shared" si="113"/>
        <v>-42714734.786024012</v>
      </c>
      <c r="AS97" s="3">
        <f t="shared" si="114"/>
        <v>-58719998.363262013</v>
      </c>
      <c r="AT97" s="3">
        <f t="shared" si="115"/>
        <v>-72281041.590979308</v>
      </c>
      <c r="AU97" s="3">
        <f t="shared" si="116"/>
        <v>-83539785.30021669</v>
      </c>
      <c r="AV97" s="3">
        <f t="shared" si="117"/>
        <v>-92721887.057235181</v>
      </c>
      <c r="AW97" s="3">
        <f t="shared" si="118"/>
        <v>-100060982.30013451</v>
      </c>
      <c r="AX97" s="3">
        <f t="shared" si="119"/>
        <v>-105767984.23926094</v>
      </c>
      <c r="AY97" s="3">
        <f t="shared" si="120"/>
        <v>-110022571.9064602</v>
      </c>
      <c r="AZ97" s="3">
        <f t="shared" si="121"/>
        <v>-112973800.38246474</v>
      </c>
      <c r="BA97" s="3">
        <f t="shared" si="122"/>
        <v>-114743283.88021405</v>
      </c>
      <c r="BB97" s="3">
        <f t="shared" si="123"/>
        <v>-115428060.4355585</v>
      </c>
      <c r="BC97" s="3">
        <f t="shared" si="124"/>
        <v>-115102081.16261789</v>
      </c>
      <c r="BD97" s="3">
        <f t="shared" si="125"/>
        <v>-113816083.49797814</v>
      </c>
      <c r="BE97" s="3">
        <f t="shared" si="126"/>
        <v>-111595904.70207219</v>
      </c>
      <c r="BF97" s="3">
        <f t="shared" si="127"/>
        <v>-108439353.08029751</v>
      </c>
      <c r="BG97" s="3">
        <f t="shared" si="128"/>
        <v>-104311751.10023665</v>
      </c>
      <c r="BH97" s="3">
        <f t="shared" si="129"/>
        <v>-99140336.614830375</v>
      </c>
      <c r="BI97" s="3">
        <f t="shared" si="130"/>
        <v>-92808037.783676341</v>
      </c>
      <c r="BJ97" s="3">
        <f t="shared" si="131"/>
        <v>-85148033.498774663</v>
      </c>
      <c r="BK97" s="3">
        <f t="shared" si="132"/>
        <v>-75942518.231367633</v>
      </c>
      <c r="BL97" s="3">
        <f t="shared" si="133"/>
        <v>-64933080.292696767</v>
      </c>
      <c r="BM97" s="3">
        <f t="shared" si="134"/>
        <v>-51857160.35815914</v>
      </c>
      <c r="BN97" s="3">
        <f t="shared" si="135"/>
        <v>-36535487.601219259</v>
      </c>
      <c r="BO97" s="3">
        <f t="shared" si="136"/>
        <v>-19044945.854837425</v>
      </c>
      <c r="BP97" s="3">
        <f t="shared" si="137"/>
        <v>0</v>
      </c>
      <c r="BW97" s="19"/>
      <c r="BX97" s="3">
        <v>1</v>
      </c>
      <c r="BY97" s="3">
        <f t="shared" si="138"/>
        <v>0.17990274755383903</v>
      </c>
      <c r="BZ97" s="3">
        <f t="shared" si="139"/>
        <v>0.17990274755383903</v>
      </c>
      <c r="CA97" s="3">
        <f t="shared" si="140"/>
        <v>0.17990274755383903</v>
      </c>
      <c r="CB97" s="3">
        <f t="shared" si="141"/>
        <v>0.17990274755383903</v>
      </c>
      <c r="CC97" s="3">
        <f t="shared" si="142"/>
        <v>0.17990274755383903</v>
      </c>
      <c r="CD97" s="3">
        <f t="shared" si="143"/>
        <v>0.17990274755383903</v>
      </c>
      <c r="CE97" s="3">
        <f t="shared" si="144"/>
        <v>0.17990274755383903</v>
      </c>
      <c r="CF97" s="3">
        <f t="shared" si="145"/>
        <v>0.17990274755383903</v>
      </c>
      <c r="CG97" s="3">
        <f t="shared" si="146"/>
        <v>0.17990274755383903</v>
      </c>
      <c r="CH97" s="3">
        <f t="shared" si="147"/>
        <v>0.17990274755383903</v>
      </c>
      <c r="CI97" s="3">
        <f t="shared" si="148"/>
        <v>0.17990274755383903</v>
      </c>
      <c r="CJ97" s="3">
        <f t="shared" si="149"/>
        <v>0.17990274755383903</v>
      </c>
      <c r="CK97" s="3">
        <f t="shared" si="150"/>
        <v>0.17990274755383903</v>
      </c>
      <c r="CL97" s="3">
        <f t="shared" si="151"/>
        <v>0.17990274755383903</v>
      </c>
      <c r="CM97" s="3">
        <f t="shared" si="152"/>
        <v>0.17990274755383903</v>
      </c>
      <c r="CN97" s="3">
        <f t="shared" si="153"/>
        <v>0.17990274755383903</v>
      </c>
      <c r="CO97" s="3">
        <f t="shared" si="154"/>
        <v>0.17990274755383903</v>
      </c>
      <c r="CP97" s="3">
        <f t="shared" si="155"/>
        <v>0.17990274755383903</v>
      </c>
      <c r="CQ97" s="3">
        <f t="shared" si="156"/>
        <v>0.17990274755383903</v>
      </c>
      <c r="CR97" s="3">
        <f t="shared" si="157"/>
        <v>0.17990274755383903</v>
      </c>
      <c r="CS97" s="3">
        <f t="shared" si="158"/>
        <v>0.17990274755383903</v>
      </c>
      <c r="CT97" s="3">
        <f t="shared" si="159"/>
        <v>0.17990274755383903</v>
      </c>
      <c r="CU97" s="3">
        <f t="shared" si="160"/>
        <v>0.17990274755383903</v>
      </c>
      <c r="CV97" s="3">
        <f t="shared" si="161"/>
        <v>0.17990274755383903</v>
      </c>
      <c r="CW97" s="3">
        <f t="shared" si="162"/>
        <v>0.17990274755383903</v>
      </c>
      <c r="CX97" s="3">
        <f t="shared" si="163"/>
        <v>0.17990274755383903</v>
      </c>
      <c r="DE97" s="19"/>
      <c r="DF97" s="3">
        <v>0</v>
      </c>
      <c r="DG97" s="3">
        <f t="shared" si="164"/>
        <v>5.8072801618243917</v>
      </c>
      <c r="DH97" s="3">
        <f t="shared" si="165"/>
        <v>10.109100511447064</v>
      </c>
      <c r="DI97" s="3">
        <f t="shared" si="166"/>
        <v>13.807699621485654</v>
      </c>
      <c r="DJ97" s="3">
        <f t="shared" si="167"/>
        <v>16.906095971684419</v>
      </c>
      <c r="DK97" s="3">
        <f t="shared" si="168"/>
        <v>19.456152995464166</v>
      </c>
      <c r="DL97" s="3">
        <f t="shared" si="169"/>
        <v>21.522378952523407</v>
      </c>
      <c r="DM97" s="3">
        <f t="shared" si="170"/>
        <v>23.166061979358918</v>
      </c>
      <c r="DN97" s="3">
        <f t="shared" si="171"/>
        <v>24.439926614843596</v>
      </c>
      <c r="DO97" s="3">
        <f t="shared" si="172"/>
        <v>25.387463254955414</v>
      </c>
      <c r="DP97" s="3">
        <f t="shared" si="173"/>
        <v>26.043911795077317</v>
      </c>
      <c r="DQ97" s="3">
        <f t="shared" si="174"/>
        <v>26.437513310785583</v>
      </c>
      <c r="DR97" s="3">
        <f t="shared" si="175"/>
        <v>26.590479912456754</v>
      </c>
      <c r="DS97" s="3">
        <f t="shared" si="176"/>
        <v>26.519519809898121</v>
      </c>
      <c r="DT97" s="3">
        <f t="shared" si="177"/>
        <v>26.235910025688877</v>
      </c>
      <c r="DU97" s="3">
        <f t="shared" si="178"/>
        <v>25.745153377790789</v>
      </c>
      <c r="DV97" s="3">
        <f t="shared" si="179"/>
        <v>25.046252341207907</v>
      </c>
      <c r="DW97" s="3">
        <f t="shared" si="180"/>
        <v>24.130615429822218</v>
      </c>
      <c r="DX97" s="3">
        <f t="shared" si="181"/>
        <v>22.98060957023208</v>
      </c>
      <c r="DY97" s="3">
        <f t="shared" si="182"/>
        <v>21.567822323717607</v>
      </c>
      <c r="DZ97" s="3">
        <f t="shared" si="183"/>
        <v>19.851269994431302</v>
      </c>
      <c r="EA97" s="3">
        <f t="shared" si="184"/>
        <v>17.776214142761557</v>
      </c>
      <c r="EB97" s="3">
        <f t="shared" si="185"/>
        <v>15.275168474826895</v>
      </c>
      <c r="EC97" s="3">
        <f t="shared" si="186"/>
        <v>12.274465058190849</v>
      </c>
      <c r="ED97" s="3">
        <f t="shared" si="187"/>
        <v>8.7128163069362117</v>
      </c>
      <c r="EE97" s="3">
        <f t="shared" si="188"/>
        <v>4.5824986489874986</v>
      </c>
      <c r="EF97" s="3">
        <v>0</v>
      </c>
    </row>
    <row r="98" spans="7:136" x14ac:dyDescent="0.3">
      <c r="G98" s="13"/>
      <c r="H98" s="3">
        <v>0</v>
      </c>
      <c r="I98" s="3">
        <f t="shared" si="189"/>
        <v>8.141753192618653</v>
      </c>
      <c r="J98" s="3">
        <f t="shared" si="190"/>
        <v>13.856714651265913</v>
      </c>
      <c r="K98" s="3">
        <f t="shared" si="191"/>
        <v>18.541930064278567</v>
      </c>
      <c r="L98" s="3">
        <f t="shared" si="192"/>
        <v>22.312032334300611</v>
      </c>
      <c r="M98" s="3">
        <f t="shared" si="193"/>
        <v>25.316640698432145</v>
      </c>
      <c r="N98" s="3">
        <f t="shared" si="194"/>
        <v>27.691558498825806</v>
      </c>
      <c r="O98" s="3">
        <f t="shared" si="195"/>
        <v>29.54615965453409</v>
      </c>
      <c r="P98" s="3">
        <f t="shared" si="196"/>
        <v>30.964441889453688</v>
      </c>
      <c r="Q98" s="3">
        <f t="shared" si="197"/>
        <v>32.009918088612963</v>
      </c>
      <c r="R98" s="3">
        <f t="shared" si="198"/>
        <v>32.730568603569246</v>
      </c>
      <c r="S98" s="3">
        <f t="shared" si="199"/>
        <v>33.162683195995349</v>
      </c>
      <c r="T98" s="3">
        <f t="shared" si="200"/>
        <v>33.333427884377585</v>
      </c>
      <c r="U98" s="3">
        <f t="shared" si="201"/>
        <v>33.262292609101962</v>
      </c>
      <c r="V98" s="3">
        <f t="shared" si="202"/>
        <v>32.961623029916858</v>
      </c>
      <c r="W98" s="3">
        <f t="shared" si="203"/>
        <v>32.436387192459755</v>
      </c>
      <c r="X98" s="3">
        <f t="shared" si="204"/>
        <v>31.683242580915778</v>
      </c>
      <c r="Y98" s="3">
        <f t="shared" si="205"/>
        <v>30.688876200258512</v>
      </c>
      <c r="Z98" s="3">
        <f t="shared" si="206"/>
        <v>29.427504446354078</v>
      </c>
      <c r="AA98" s="3">
        <f t="shared" si="207"/>
        <v>27.857368800616115</v>
      </c>
      <c r="AB98" s="3">
        <f t="shared" si="208"/>
        <v>25.916124341917573</v>
      </c>
      <c r="AC98" s="3">
        <f t="shared" si="209"/>
        <v>23.515386364303868</v>
      </c>
      <c r="AD98" s="3">
        <f t="shared" si="210"/>
        <v>20.535839332162439</v>
      </c>
      <c r="AE98" s="3">
        <f t="shared" si="211"/>
        <v>16.827241390040502</v>
      </c>
      <c r="AF98" s="3">
        <f t="shared" si="212"/>
        <v>12.22442053208087</v>
      </c>
      <c r="AG98" s="3">
        <f t="shared" si="213"/>
        <v>6.604437525493692</v>
      </c>
      <c r="AH98" s="3">
        <v>0</v>
      </c>
      <c r="AI98"/>
      <c r="AJ98"/>
      <c r="AK98"/>
      <c r="AL98"/>
      <c r="AO98" s="19"/>
      <c r="AP98" s="3">
        <f t="shared" si="111"/>
        <v>0</v>
      </c>
      <c r="AQ98" s="3">
        <f t="shared" si="112"/>
        <v>-28418713.528055374</v>
      </c>
      <c r="AR98" s="3">
        <f t="shared" si="113"/>
        <v>-48824500.75442826</v>
      </c>
      <c r="AS98" s="3">
        <f t="shared" si="114"/>
        <v>-65725511.196362779</v>
      </c>
      <c r="AT98" s="3">
        <f t="shared" si="115"/>
        <v>-79395237.496036813</v>
      </c>
      <c r="AU98" s="3">
        <f t="shared" si="116"/>
        <v>-90312383.705136135</v>
      </c>
      <c r="AV98" s="3">
        <f t="shared" si="117"/>
        <v>-98945617.477415845</v>
      </c>
      <c r="AW98" s="3">
        <f t="shared" si="118"/>
        <v>-105685335.09661606</v>
      </c>
      <c r="AX98" s="3">
        <f t="shared" si="119"/>
        <v>-110836491.89853524</v>
      </c>
      <c r="AY98" s="3">
        <f t="shared" si="120"/>
        <v>-114631586.50393677</v>
      </c>
      <c r="AZ98" s="3">
        <f t="shared" si="121"/>
        <v>-117246807.93422127</v>
      </c>
      <c r="BA98" s="3">
        <f t="shared" si="122"/>
        <v>-118815409.60648184</v>
      </c>
      <c r="BB98" s="3">
        <f t="shared" si="123"/>
        <v>-119436934.18381976</v>
      </c>
      <c r="BC98" s="3">
        <f t="shared" si="124"/>
        <v>-119182522.22402106</v>
      </c>
      <c r="BD98" s="3">
        <f t="shared" si="125"/>
        <v>-118096909.89577255</v>
      </c>
      <c r="BE98" s="3">
        <f t="shared" si="126"/>
        <v>-116197614.90440929</v>
      </c>
      <c r="BF98" s="3">
        <f t="shared" si="127"/>
        <v>-113471536.92723694</v>
      </c>
      <c r="BG98" s="3">
        <f t="shared" si="128"/>
        <v>-109868886.26240171</v>
      </c>
      <c r="BH98" s="3">
        <f t="shared" si="129"/>
        <v>-105294083.12176214</v>
      </c>
      <c r="BI98" s="3">
        <f t="shared" si="130"/>
        <v>-99593181.456512973</v>
      </c>
      <c r="BJ98" s="3">
        <f t="shared" si="131"/>
        <v>-92537817.517887399</v>
      </c>
      <c r="BK98" s="3">
        <f t="shared" si="132"/>
        <v>-83807517.250643998</v>
      </c>
      <c r="BL98" s="3">
        <f t="shared" si="133"/>
        <v>-72977334.745712653</v>
      </c>
      <c r="BM98" s="3">
        <f t="shared" si="134"/>
        <v>-59530167.72178375</v>
      </c>
      <c r="BN98" s="3">
        <f t="shared" si="135"/>
        <v>-42939675.21998059</v>
      </c>
      <c r="BO98" s="3">
        <f t="shared" si="136"/>
        <v>-22919156.963374365</v>
      </c>
      <c r="BP98" s="3">
        <f t="shared" si="137"/>
        <v>0</v>
      </c>
      <c r="BW98" s="19"/>
      <c r="BX98" s="3">
        <v>1</v>
      </c>
      <c r="BY98" s="3">
        <f t="shared" si="138"/>
        <v>0.17990274157194241</v>
      </c>
      <c r="BZ98" s="3">
        <f t="shared" si="139"/>
        <v>0.17990274157194241</v>
      </c>
      <c r="CA98" s="3">
        <f t="shared" si="140"/>
        <v>0.17990274157194241</v>
      </c>
      <c r="CB98" s="3">
        <f t="shared" si="141"/>
        <v>0.17990274157194241</v>
      </c>
      <c r="CC98" s="3">
        <f t="shared" si="142"/>
        <v>0.17990274157194241</v>
      </c>
      <c r="CD98" s="3">
        <f t="shared" si="143"/>
        <v>0.17990274157194241</v>
      </c>
      <c r="CE98" s="3">
        <f t="shared" si="144"/>
        <v>0.17990274157194241</v>
      </c>
      <c r="CF98" s="3">
        <f t="shared" si="145"/>
        <v>0.17990274157194241</v>
      </c>
      <c r="CG98" s="3">
        <f t="shared" si="146"/>
        <v>0.17990274157194241</v>
      </c>
      <c r="CH98" s="3">
        <f t="shared" si="147"/>
        <v>0.17990274157194241</v>
      </c>
      <c r="CI98" s="3">
        <f t="shared" si="148"/>
        <v>0.17990274157194241</v>
      </c>
      <c r="CJ98" s="3">
        <f t="shared" si="149"/>
        <v>0.17990274157194241</v>
      </c>
      <c r="CK98" s="3">
        <f t="shared" si="150"/>
        <v>0.17990274157194241</v>
      </c>
      <c r="CL98" s="3">
        <f t="shared" si="151"/>
        <v>0.17990274157194241</v>
      </c>
      <c r="CM98" s="3">
        <f t="shared" si="152"/>
        <v>0.17990274157194241</v>
      </c>
      <c r="CN98" s="3">
        <f t="shared" si="153"/>
        <v>0.17990274157194241</v>
      </c>
      <c r="CO98" s="3">
        <f t="shared" si="154"/>
        <v>0.17990274157194241</v>
      </c>
      <c r="CP98" s="3">
        <f t="shared" si="155"/>
        <v>0.17990274157194241</v>
      </c>
      <c r="CQ98" s="3">
        <f t="shared" si="156"/>
        <v>0.17990274157194241</v>
      </c>
      <c r="CR98" s="3">
        <f t="shared" si="157"/>
        <v>0.17990274157194241</v>
      </c>
      <c r="CS98" s="3">
        <f t="shared" si="158"/>
        <v>0.17990274157194241</v>
      </c>
      <c r="CT98" s="3">
        <f t="shared" si="159"/>
        <v>0.17990274157194241</v>
      </c>
      <c r="CU98" s="3">
        <f t="shared" si="160"/>
        <v>0.17990274157194241</v>
      </c>
      <c r="CV98" s="3">
        <f t="shared" si="161"/>
        <v>0.17990274157194241</v>
      </c>
      <c r="CW98" s="3">
        <f t="shared" si="162"/>
        <v>0.17990274157194241</v>
      </c>
      <c r="CX98" s="3">
        <f t="shared" si="163"/>
        <v>0.17990274157194241</v>
      </c>
      <c r="DE98" s="19"/>
      <c r="DF98" s="3">
        <v>0</v>
      </c>
      <c r="DG98" s="3">
        <f t="shared" si="164"/>
        <v>6.8981518416965422</v>
      </c>
      <c r="DH98" s="3">
        <f t="shared" si="165"/>
        <v>11.686067167644437</v>
      </c>
      <c r="DI98" s="3">
        <f t="shared" si="166"/>
        <v>15.568509019792716</v>
      </c>
      <c r="DJ98" s="3">
        <f t="shared" si="167"/>
        <v>18.66140642543192</v>
      </c>
      <c r="DK98" s="3">
        <f t="shared" si="168"/>
        <v>21.105173096657857</v>
      </c>
      <c r="DL98" s="3">
        <f t="shared" si="169"/>
        <v>23.023261549670778</v>
      </c>
      <c r="DM98" s="3">
        <f t="shared" si="170"/>
        <v>24.512912635387107</v>
      </c>
      <c r="DN98" s="3">
        <f t="shared" si="171"/>
        <v>25.647441020329886</v>
      </c>
      <c r="DO98" s="3">
        <f t="shared" si="172"/>
        <v>26.481376817769988</v>
      </c>
      <c r="DP98" s="3">
        <f t="shared" si="173"/>
        <v>27.055297404223602</v>
      </c>
      <c r="DQ98" s="3">
        <f t="shared" si="174"/>
        <v>27.399468395891308</v>
      </c>
      <c r="DR98" s="3">
        <f t="shared" si="175"/>
        <v>27.536249821998041</v>
      </c>
      <c r="DS98" s="3">
        <f t="shared" si="176"/>
        <v>27.481463020646888</v>
      </c>
      <c r="DT98" s="3">
        <f t="shared" si="177"/>
        <v>27.244926891465468</v>
      </c>
      <c r="DU98" s="3">
        <f t="shared" si="178"/>
        <v>26.83030843463392</v>
      </c>
      <c r="DV98" s="3">
        <f t="shared" si="179"/>
        <v>26.234346451368211</v>
      </c>
      <c r="DW98" s="3">
        <f t="shared" si="180"/>
        <v>25.445416383668849</v>
      </c>
      <c r="DX98" s="3">
        <f t="shared" si="181"/>
        <v>24.441317158781498</v>
      </c>
      <c r="DY98" s="3">
        <f t="shared" si="182"/>
        <v>23.186097773038483</v>
      </c>
      <c r="DZ98" s="3">
        <f t="shared" si="183"/>
        <v>21.625764636797189</v>
      </c>
      <c r="EA98" s="3">
        <f t="shared" si="184"/>
        <v>19.682990043266457</v>
      </c>
      <c r="EB98" s="3">
        <f t="shared" si="185"/>
        <v>17.251895553431552</v>
      </c>
      <c r="EC98" s="3">
        <f t="shared" si="186"/>
        <v>14.196563292427083</v>
      </c>
      <c r="ED98" s="3">
        <f t="shared" si="187"/>
        <v>10.363111097026856</v>
      </c>
      <c r="EE98" s="3">
        <f t="shared" si="188"/>
        <v>5.6284991078355491</v>
      </c>
      <c r="EF98" s="3">
        <v>0</v>
      </c>
    </row>
    <row r="99" spans="7:136" x14ac:dyDescent="0.3">
      <c r="G99" s="13"/>
      <c r="H99" s="3">
        <v>0</v>
      </c>
      <c r="I99" s="3">
        <f t="shared" si="189"/>
        <v>10.1980636463837</v>
      </c>
      <c r="J99" s="3">
        <f t="shared" si="190"/>
        <v>16.578612710446208</v>
      </c>
      <c r="K99" s="3">
        <f t="shared" si="191"/>
        <v>21.392528503758623</v>
      </c>
      <c r="L99" s="3">
        <f t="shared" si="192"/>
        <v>25.019870652988949</v>
      </c>
      <c r="M99" s="3">
        <f t="shared" si="193"/>
        <v>27.769275601506486</v>
      </c>
      <c r="N99" s="3">
        <f t="shared" si="194"/>
        <v>29.863071740874929</v>
      </c>
      <c r="O99" s="3">
        <f t="shared" si="195"/>
        <v>31.45468730721252</v>
      </c>
      <c r="P99" s="3">
        <f t="shared" si="196"/>
        <v>32.649014071619312</v>
      </c>
      <c r="Q99" s="3">
        <f t="shared" si="197"/>
        <v>33.518338645419277</v>
      </c>
      <c r="R99" s="3">
        <f t="shared" si="198"/>
        <v>34.11326711017248</v>
      </c>
      <c r="S99" s="3">
        <f t="shared" si="199"/>
        <v>34.469719946526553</v>
      </c>
      <c r="T99" s="3">
        <f t="shared" si="200"/>
        <v>34.613156981709331</v>
      </c>
      <c r="U99" s="3">
        <f t="shared" si="201"/>
        <v>34.560904534382409</v>
      </c>
      <c r="V99" s="3">
        <f t="shared" si="202"/>
        <v>34.323150388574049</v>
      </c>
      <c r="W99" s="3">
        <f t="shared" si="203"/>
        <v>33.902919240936988</v>
      </c>
      <c r="X99" s="3">
        <f t="shared" si="204"/>
        <v>33.295131878731539</v>
      </c>
      <c r="Y99" s="3">
        <f t="shared" si="205"/>
        <v>32.484655084610473</v>
      </c>
      <c r="Z99" s="3">
        <f t="shared" si="206"/>
        <v>31.443032243389776</v>
      </c>
      <c r="AA99" s="3">
        <f t="shared" si="207"/>
        <v>30.123316839563934</v>
      </c>
      <c r="AB99" s="3">
        <f t="shared" si="208"/>
        <v>28.452106413310748</v>
      </c>
      <c r="AC99" s="3">
        <f t="shared" si="209"/>
        <v>26.317582734788118</v>
      </c>
      <c r="AD99" s="3">
        <f t="shared" si="210"/>
        <v>23.552514954649496</v>
      </c>
      <c r="AE99" s="3">
        <f t="shared" si="211"/>
        <v>19.913153441405807</v>
      </c>
      <c r="AF99" s="3">
        <f t="shared" si="212"/>
        <v>15.062833133233688</v>
      </c>
      <c r="AG99" s="3">
        <f t="shared" si="213"/>
        <v>8.5942355861152482</v>
      </c>
      <c r="AH99" s="3">
        <v>0</v>
      </c>
      <c r="AI99"/>
      <c r="AJ99"/>
      <c r="AK99"/>
      <c r="AL99"/>
      <c r="AO99" s="19"/>
      <c r="AP99" s="3">
        <f t="shared" si="111"/>
        <v>0</v>
      </c>
      <c r="AQ99" s="3">
        <f t="shared" si="112"/>
        <v>-35033169.252690285</v>
      </c>
      <c r="AR99" s="3">
        <f t="shared" si="113"/>
        <v>-58064882.756338432</v>
      </c>
      <c r="AS99" s="3">
        <f t="shared" si="114"/>
        <v>-75659507.823821738</v>
      </c>
      <c r="AT99" s="3">
        <f t="shared" si="115"/>
        <v>-88970193.48069635</v>
      </c>
      <c r="AU99" s="3">
        <f t="shared" si="116"/>
        <v>-99059036.664316401</v>
      </c>
      <c r="AV99" s="3">
        <f t="shared" si="117"/>
        <v>-106729392.93990065</v>
      </c>
      <c r="AW99" s="3">
        <f t="shared" si="118"/>
        <v>-112547980.132771</v>
      </c>
      <c r="AX99" s="3">
        <f t="shared" si="119"/>
        <v>-116905869.56331778</v>
      </c>
      <c r="AY99" s="3">
        <f t="shared" si="120"/>
        <v>-120073242.67342773</v>
      </c>
      <c r="AZ99" s="3">
        <f t="shared" si="121"/>
        <v>-122238983.60770459</v>
      </c>
      <c r="BA99" s="3">
        <f t="shared" si="122"/>
        <v>-123536683.16607913</v>
      </c>
      <c r="BB99" s="3">
        <f t="shared" si="123"/>
        <v>-124060566.30304098</v>
      </c>
      <c r="BC99" s="3">
        <f t="shared" si="124"/>
        <v>-123874353.37060891</v>
      </c>
      <c r="BD99" s="3">
        <f t="shared" si="125"/>
        <v>-123015105.22303441</v>
      </c>
      <c r="BE99" s="3">
        <f t="shared" si="126"/>
        <v>-121493208.39947996</v>
      </c>
      <c r="BF99" s="3">
        <f t="shared" si="127"/>
        <v>-119288883.05997817</v>
      </c>
      <c r="BG99" s="3">
        <f t="shared" si="128"/>
        <v>-116344862.96644858</v>
      </c>
      <c r="BH99" s="3">
        <f t="shared" si="129"/>
        <v>-112554097.49063861</v>
      </c>
      <c r="BI99" s="3">
        <f t="shared" si="130"/>
        <v>-107740385.98848827</v>
      </c>
      <c r="BJ99" s="3">
        <f t="shared" si="131"/>
        <v>-101628856.23391674</v>
      </c>
      <c r="BK99" s="3">
        <f t="shared" si="132"/>
        <v>-93802763.32481499</v>
      </c>
      <c r="BL99" s="3">
        <f t="shared" si="133"/>
        <v>-83645501.159465656</v>
      </c>
      <c r="BM99" s="3">
        <f t="shared" si="134"/>
        <v>-70278990.757257462</v>
      </c>
      <c r="BN99" s="3">
        <f t="shared" si="135"/>
        <v>-52551179.322365746</v>
      </c>
      <c r="BO99" s="3">
        <f t="shared" si="136"/>
        <v>-29245808.300754178</v>
      </c>
      <c r="BP99" s="3">
        <f t="shared" si="137"/>
        <v>0</v>
      </c>
      <c r="BW99" s="19"/>
      <c r="BX99" s="3">
        <v>1</v>
      </c>
      <c r="BY99" s="3">
        <f t="shared" si="138"/>
        <v>0.179902556745832</v>
      </c>
      <c r="BZ99" s="3">
        <f t="shared" si="139"/>
        <v>0.179902556745832</v>
      </c>
      <c r="CA99" s="3">
        <f t="shared" si="140"/>
        <v>0.179902556745832</v>
      </c>
      <c r="CB99" s="3">
        <f t="shared" si="141"/>
        <v>0.179902556745832</v>
      </c>
      <c r="CC99" s="3">
        <f t="shared" si="142"/>
        <v>0.179902556745832</v>
      </c>
      <c r="CD99" s="3">
        <f t="shared" si="143"/>
        <v>0.179902556745832</v>
      </c>
      <c r="CE99" s="3">
        <f t="shared" si="144"/>
        <v>0.179902556745832</v>
      </c>
      <c r="CF99" s="3">
        <f t="shared" si="145"/>
        <v>0.179902556745832</v>
      </c>
      <c r="CG99" s="3">
        <f t="shared" si="146"/>
        <v>0.179902556745832</v>
      </c>
      <c r="CH99" s="3">
        <f t="shared" si="147"/>
        <v>0.179902556745832</v>
      </c>
      <c r="CI99" s="3">
        <f t="shared" si="148"/>
        <v>0.179902556745832</v>
      </c>
      <c r="CJ99" s="3">
        <f t="shared" si="149"/>
        <v>0.179902556745832</v>
      </c>
      <c r="CK99" s="3">
        <f t="shared" si="150"/>
        <v>0.179902556745832</v>
      </c>
      <c r="CL99" s="3">
        <f t="shared" si="151"/>
        <v>0.179902556745832</v>
      </c>
      <c r="CM99" s="3">
        <f t="shared" si="152"/>
        <v>0.179902556745832</v>
      </c>
      <c r="CN99" s="3">
        <f t="shared" si="153"/>
        <v>0.179902556745832</v>
      </c>
      <c r="CO99" s="3">
        <f t="shared" si="154"/>
        <v>0.179902556745832</v>
      </c>
      <c r="CP99" s="3">
        <f t="shared" si="155"/>
        <v>0.179902556745832</v>
      </c>
      <c r="CQ99" s="3">
        <f t="shared" si="156"/>
        <v>0.179902556745832</v>
      </c>
      <c r="CR99" s="3">
        <f t="shared" si="157"/>
        <v>0.179902556745832</v>
      </c>
      <c r="CS99" s="3">
        <f t="shared" si="158"/>
        <v>0.179902556745832</v>
      </c>
      <c r="CT99" s="3">
        <f t="shared" si="159"/>
        <v>0.179902556745832</v>
      </c>
      <c r="CU99" s="3">
        <f t="shared" si="160"/>
        <v>0.179902556745832</v>
      </c>
      <c r="CV99" s="3">
        <f t="shared" si="161"/>
        <v>0.179902556745832</v>
      </c>
      <c r="CW99" s="3">
        <f t="shared" si="162"/>
        <v>0.179902556745832</v>
      </c>
      <c r="CX99" s="3">
        <f t="shared" si="163"/>
        <v>0.179902556745832</v>
      </c>
      <c r="DE99" s="19"/>
      <c r="DF99" s="3">
        <v>0</v>
      </c>
      <c r="DG99" s="3">
        <f t="shared" si="164"/>
        <v>8.7333414306380632</v>
      </c>
      <c r="DH99" s="3">
        <f t="shared" si="165"/>
        <v>14.085754316586042</v>
      </c>
      <c r="DI99" s="3">
        <f t="shared" si="166"/>
        <v>18.056787878192498</v>
      </c>
      <c r="DJ99" s="3">
        <f t="shared" si="167"/>
        <v>21.005878989852594</v>
      </c>
      <c r="DK99" s="3">
        <f t="shared" si="168"/>
        <v>23.214747211642958</v>
      </c>
      <c r="DL99" s="3">
        <f t="shared" si="169"/>
        <v>24.881289566659394</v>
      </c>
      <c r="DM99" s="3">
        <f t="shared" si="170"/>
        <v>26.139257643341288</v>
      </c>
      <c r="DN99" s="3">
        <f t="shared" si="171"/>
        <v>27.078431807498855</v>
      </c>
      <c r="DO99" s="3">
        <f t="shared" si="172"/>
        <v>27.759672540053145</v>
      </c>
      <c r="DP99" s="3">
        <f t="shared" si="173"/>
        <v>28.224954134645515</v>
      </c>
      <c r="DQ99" s="3">
        <f t="shared" si="174"/>
        <v>28.503668451014953</v>
      </c>
      <c r="DR99" s="3">
        <f t="shared" si="175"/>
        <v>28.616388080206995</v>
      </c>
      <c r="DS99" s="3">
        <f t="shared" si="176"/>
        <v>28.576933050776976</v>
      </c>
      <c r="DT99" s="3">
        <f t="shared" si="177"/>
        <v>28.393270130999706</v>
      </c>
      <c r="DU99" s="3">
        <f t="shared" si="178"/>
        <v>28.067530253415722</v>
      </c>
      <c r="DV99" s="3">
        <f t="shared" si="179"/>
        <v>27.595235532426376</v>
      </c>
      <c r="DW99" s="3">
        <f t="shared" si="180"/>
        <v>26.963647792527656</v>
      </c>
      <c r="DX99" s="3">
        <f t="shared" si="181"/>
        <v>26.148948954841337</v>
      </c>
      <c r="DY99" s="3">
        <f t="shared" si="182"/>
        <v>25.111704968121522</v>
      </c>
      <c r="DZ99" s="3">
        <f t="shared" si="183"/>
        <v>23.789729383256883</v>
      </c>
      <c r="EA99" s="3">
        <f t="shared" si="184"/>
        <v>22.087104604983779</v>
      </c>
      <c r="EB99" s="3">
        <f t="shared" si="185"/>
        <v>19.858064953871853</v>
      </c>
      <c r="EC99" s="3">
        <f t="shared" si="186"/>
        <v>16.885889692358234</v>
      </c>
      <c r="ED99" s="3">
        <f t="shared" si="187"/>
        <v>12.863628624776096</v>
      </c>
      <c r="EE99" s="3">
        <f t="shared" si="188"/>
        <v>7.4060803894108176</v>
      </c>
      <c r="EF99" s="3">
        <v>0</v>
      </c>
    </row>
    <row r="100" spans="7:136" x14ac:dyDescent="0.3">
      <c r="G100" s="13"/>
      <c r="H100" s="3">
        <v>0</v>
      </c>
      <c r="I100" s="3">
        <f t="shared" si="189"/>
        <v>13.877169725995019</v>
      </c>
      <c r="J100" s="3">
        <f t="shared" si="190"/>
        <v>20.779203225867164</v>
      </c>
      <c r="K100" s="3">
        <f t="shared" si="191"/>
        <v>25.38600886066601</v>
      </c>
      <c r="L100" s="3">
        <f t="shared" si="192"/>
        <v>28.562405346779784</v>
      </c>
      <c r="M100" s="3">
        <f t="shared" si="193"/>
        <v>30.823236201840917</v>
      </c>
      <c r="N100" s="3">
        <f t="shared" si="194"/>
        <v>32.471477004728101</v>
      </c>
      <c r="O100" s="3">
        <f t="shared" si="195"/>
        <v>33.687712927039264</v>
      </c>
      <c r="P100" s="3">
        <f t="shared" si="196"/>
        <v>34.582392878146123</v>
      </c>
      <c r="Q100" s="3">
        <f t="shared" si="197"/>
        <v>35.225306504685932</v>
      </c>
      <c r="R100" s="3">
        <f t="shared" si="198"/>
        <v>35.662069571897092</v>
      </c>
      <c r="S100" s="3">
        <f t="shared" si="199"/>
        <v>35.923327730846154</v>
      </c>
      <c r="T100" s="3">
        <f t="shared" si="200"/>
        <v>36.029838957017674</v>
      </c>
      <c r="U100" s="3">
        <f t="shared" si="201"/>
        <v>35.995147280336511</v>
      </c>
      <c r="V100" s="3">
        <f t="shared" si="202"/>
        <v>35.826754259512057</v>
      </c>
      <c r="W100" s="3">
        <f t="shared" si="203"/>
        <v>35.526226859225922</v>
      </c>
      <c r="X100" s="3">
        <f t="shared" si="204"/>
        <v>35.088370029052534</v>
      </c>
      <c r="Y100" s="3">
        <f t="shared" si="205"/>
        <v>34.499323056277063</v>
      </c>
      <c r="Z100" s="3">
        <f t="shared" si="206"/>
        <v>33.733112112591101</v>
      </c>
      <c r="AA100" s="3">
        <f t="shared" si="207"/>
        <v>32.745684500086703</v>
      </c>
      <c r="AB100" s="3">
        <f t="shared" si="208"/>
        <v>31.464566845141533</v>
      </c>
      <c r="AC100" s="3">
        <f t="shared" si="209"/>
        <v>29.770700197837179</v>
      </c>
      <c r="AD100" s="3">
        <f t="shared" si="210"/>
        <v>27.466215561998347</v>
      </c>
      <c r="AE100" s="3">
        <f t="shared" si="211"/>
        <v>24.21750782658939</v>
      </c>
      <c r="AF100" s="3">
        <f t="shared" si="212"/>
        <v>19.458173220028581</v>
      </c>
      <c r="AG100" s="3">
        <f t="shared" si="213"/>
        <v>12.241031685846838</v>
      </c>
      <c r="AH100" s="3">
        <v>0</v>
      </c>
      <c r="AI100"/>
      <c r="AJ100"/>
      <c r="AK100"/>
      <c r="AL100"/>
      <c r="AO100" s="19"/>
      <c r="AP100" s="3">
        <f t="shared" si="111"/>
        <v>0</v>
      </c>
      <c r="AQ100" s="3">
        <f t="shared" si="112"/>
        <v>-46458504.325003155</v>
      </c>
      <c r="AR100" s="3">
        <f t="shared" si="113"/>
        <v>-72309015.288155019</v>
      </c>
      <c r="AS100" s="3">
        <f t="shared" si="114"/>
        <v>-89666525.537255362</v>
      </c>
      <c r="AT100" s="3">
        <f t="shared" si="115"/>
        <v>-101590707.80436638</v>
      </c>
      <c r="AU100" s="3">
        <f t="shared" si="116"/>
        <v>-110021553.14394099</v>
      </c>
      <c r="AV100" s="3">
        <f t="shared" si="117"/>
        <v>-116127194.84517445</v>
      </c>
      <c r="AW100" s="3">
        <f t="shared" si="118"/>
        <v>-120607653.73248498</v>
      </c>
      <c r="AX100" s="3">
        <f t="shared" si="119"/>
        <v>-123889803.6746814</v>
      </c>
      <c r="AY100" s="3">
        <f t="shared" si="120"/>
        <v>-126241522.43714426</v>
      </c>
      <c r="AZ100" s="3">
        <f t="shared" si="121"/>
        <v>-127836426.47929797</v>
      </c>
      <c r="BA100" s="3">
        <f t="shared" si="122"/>
        <v>-128790138.88382825</v>
      </c>
      <c r="BB100" s="3">
        <f t="shared" si="123"/>
        <v>-129180308.06996071</v>
      </c>
      <c r="BC100" s="3">
        <f t="shared" si="124"/>
        <v>-129057138.83680756</v>
      </c>
      <c r="BD100" s="3">
        <f t="shared" si="125"/>
        <v>-128448037.77610187</v>
      </c>
      <c r="BE100" s="3">
        <f t="shared" si="126"/>
        <v>-127358115.215534</v>
      </c>
      <c r="BF100" s="3">
        <f t="shared" si="127"/>
        <v>-125767049.09806074</v>
      </c>
      <c r="BG100" s="3">
        <f t="shared" si="128"/>
        <v>-123621744.15810689</v>
      </c>
      <c r="BH100" s="3">
        <f t="shared" si="129"/>
        <v>-120822918.07595026</v>
      </c>
      <c r="BI100" s="3">
        <f t="shared" si="130"/>
        <v>-117201732.2064272</v>
      </c>
      <c r="BJ100" s="3">
        <f t="shared" si="131"/>
        <v>-112479129.47294533</v>
      </c>
      <c r="BK100" s="3">
        <f t="shared" si="132"/>
        <v>-106194578.34752156</v>
      </c>
      <c r="BL100" s="3">
        <f t="shared" si="133"/>
        <v>-97581473.140447795</v>
      </c>
      <c r="BM100" s="3">
        <f t="shared" si="134"/>
        <v>-85355599.843217775</v>
      </c>
      <c r="BN100" s="3">
        <f t="shared" si="135"/>
        <v>-67389408.891094074</v>
      </c>
      <c r="BO100" s="3">
        <f t="shared" si="136"/>
        <v>-40356302.576752551</v>
      </c>
      <c r="BP100" s="3">
        <f t="shared" si="137"/>
        <v>0</v>
      </c>
      <c r="BW100" s="19"/>
      <c r="BX100" s="3">
        <v>1</v>
      </c>
      <c r="BY100" s="3">
        <f t="shared" si="138"/>
        <v>0.17989684606081083</v>
      </c>
      <c r="BZ100" s="3">
        <f t="shared" si="139"/>
        <v>0.17989684606081083</v>
      </c>
      <c r="CA100" s="3">
        <f t="shared" si="140"/>
        <v>0.17989684606081083</v>
      </c>
      <c r="CB100" s="3">
        <f t="shared" si="141"/>
        <v>0.17989684606081083</v>
      </c>
      <c r="CC100" s="3">
        <f t="shared" si="142"/>
        <v>0.17989684606081083</v>
      </c>
      <c r="CD100" s="3">
        <f t="shared" si="143"/>
        <v>0.17989684606081083</v>
      </c>
      <c r="CE100" s="3">
        <f t="shared" si="144"/>
        <v>0.17989684606081083</v>
      </c>
      <c r="CF100" s="3">
        <f t="shared" si="145"/>
        <v>0.17989684606081083</v>
      </c>
      <c r="CG100" s="3">
        <f t="shared" si="146"/>
        <v>0.17989684606081083</v>
      </c>
      <c r="CH100" s="3">
        <f t="shared" si="147"/>
        <v>0.17989684606081083</v>
      </c>
      <c r="CI100" s="3">
        <f t="shared" si="148"/>
        <v>0.17989684606081083</v>
      </c>
      <c r="CJ100" s="3">
        <f t="shared" si="149"/>
        <v>0.17989684606081083</v>
      </c>
      <c r="CK100" s="3">
        <f t="shared" si="150"/>
        <v>0.17989684606081083</v>
      </c>
      <c r="CL100" s="3">
        <f t="shared" si="151"/>
        <v>0.17989684606081083</v>
      </c>
      <c r="CM100" s="3">
        <f t="shared" si="152"/>
        <v>0.17989684606081083</v>
      </c>
      <c r="CN100" s="3">
        <f t="shared" si="153"/>
        <v>0.17989684606081083</v>
      </c>
      <c r="CO100" s="3">
        <f t="shared" si="154"/>
        <v>0.17989684606081083</v>
      </c>
      <c r="CP100" s="3">
        <f t="shared" si="155"/>
        <v>0.17989684606081083</v>
      </c>
      <c r="CQ100" s="3">
        <f t="shared" si="156"/>
        <v>0.17989684606081083</v>
      </c>
      <c r="CR100" s="3">
        <f t="shared" si="157"/>
        <v>0.17989684606081083</v>
      </c>
      <c r="CS100" s="3">
        <f t="shared" si="158"/>
        <v>0.17989684606081083</v>
      </c>
      <c r="CT100" s="3">
        <f t="shared" si="159"/>
        <v>0.17989684606081083</v>
      </c>
      <c r="CU100" s="3">
        <f t="shared" si="160"/>
        <v>0.17989684606081083</v>
      </c>
      <c r="CV100" s="3">
        <f t="shared" si="161"/>
        <v>0.17989684606081083</v>
      </c>
      <c r="CW100" s="3">
        <f t="shared" si="162"/>
        <v>0.17989684606081083</v>
      </c>
      <c r="CX100" s="3">
        <f t="shared" si="163"/>
        <v>0.17989684606081083</v>
      </c>
      <c r="DE100" s="19"/>
      <c r="DF100" s="3">
        <v>0</v>
      </c>
      <c r="DG100" s="3">
        <f t="shared" si="164"/>
        <v>12.04257024008318</v>
      </c>
      <c r="DH100" s="3">
        <f t="shared" si="165"/>
        <v>17.796763087194222</v>
      </c>
      <c r="DI100" s="3">
        <f t="shared" si="166"/>
        <v>21.537560453573835</v>
      </c>
      <c r="DJ100" s="3">
        <f t="shared" si="167"/>
        <v>24.061409527457631</v>
      </c>
      <c r="DK100" s="3">
        <f t="shared" si="168"/>
        <v>25.827631103736476</v>
      </c>
      <c r="DL100" s="3">
        <f t="shared" si="169"/>
        <v>27.099204584856977</v>
      </c>
      <c r="DM100" s="3">
        <f t="shared" si="170"/>
        <v>28.029113886642715</v>
      </c>
      <c r="DN100" s="3">
        <f t="shared" si="171"/>
        <v>28.708938219666777</v>
      </c>
      <c r="DO100" s="3">
        <f t="shared" si="172"/>
        <v>29.195463097176813</v>
      </c>
      <c r="DP100" s="3">
        <f t="shared" si="173"/>
        <v>29.525200409947072</v>
      </c>
      <c r="DQ100" s="3">
        <f t="shared" si="174"/>
        <v>29.72233382786661</v>
      </c>
      <c r="DR100" s="3">
        <f t="shared" si="175"/>
        <v>29.803041183800431</v>
      </c>
      <c r="DS100" s="3">
        <f t="shared" si="176"/>
        <v>29.77774955759234</v>
      </c>
      <c r="DT100" s="3">
        <f t="shared" si="177"/>
        <v>29.65212775773669</v>
      </c>
      <c r="DU100" s="3">
        <f t="shared" si="178"/>
        <v>29.427198615526979</v>
      </c>
      <c r="DV100" s="3">
        <f t="shared" si="179"/>
        <v>29.09868081488997</v>
      </c>
      <c r="DW100" s="3">
        <f t="shared" si="180"/>
        <v>28.655436061182357</v>
      </c>
      <c r="DX100" s="3">
        <f t="shared" si="181"/>
        <v>28.076609781416899</v>
      </c>
      <c r="DY100" s="3">
        <f t="shared" si="182"/>
        <v>27.326594807758642</v>
      </c>
      <c r="DZ100" s="3">
        <f t="shared" si="183"/>
        <v>26.346122637600359</v>
      </c>
      <c r="EA100" s="3">
        <f t="shared" si="184"/>
        <v>25.036250067904348</v>
      </c>
      <c r="EB100" s="3">
        <f t="shared" si="185"/>
        <v>23.229192404856821</v>
      </c>
      <c r="EC100" s="3">
        <f t="shared" si="186"/>
        <v>20.635194327355503</v>
      </c>
      <c r="ED100" s="3">
        <f t="shared" si="187"/>
        <v>16.748417046619558</v>
      </c>
      <c r="EE100" s="3">
        <f t="shared" si="188"/>
        <v>10.694955809601121</v>
      </c>
      <c r="EF100" s="3">
        <v>0</v>
      </c>
    </row>
    <row r="101" spans="7:136" x14ac:dyDescent="0.3">
      <c r="G101" s="13"/>
      <c r="H101" s="3">
        <v>0</v>
      </c>
      <c r="I101" s="3">
        <f t="shared" si="189"/>
        <v>21.028815460883223</v>
      </c>
      <c r="J101" s="3">
        <f t="shared" si="190"/>
        <v>27.32077697754703</v>
      </c>
      <c r="K101" s="3">
        <f t="shared" si="191"/>
        <v>30.857446699435467</v>
      </c>
      <c r="L101" s="3">
        <f t="shared" si="192"/>
        <v>33.0335148922588</v>
      </c>
      <c r="M101" s="3">
        <f t="shared" si="193"/>
        <v>34.47341092887207</v>
      </c>
      <c r="N101" s="3">
        <f t="shared" si="194"/>
        <v>35.476301569725997</v>
      </c>
      <c r="O101" s="3">
        <f t="shared" si="195"/>
        <v>36.195663684868144</v>
      </c>
      <c r="P101" s="3">
        <f t="shared" si="196"/>
        <v>36.7156376448049</v>
      </c>
      <c r="Q101" s="3">
        <f t="shared" si="197"/>
        <v>37.085310914443689</v>
      </c>
      <c r="R101" s="3">
        <f t="shared" si="198"/>
        <v>37.334944721017791</v>
      </c>
      <c r="S101" s="3">
        <f t="shared" si="199"/>
        <v>37.484005777196515</v>
      </c>
      <c r="T101" s="3">
        <f t="shared" si="200"/>
        <v>37.545248520868817</v>
      </c>
      <c r="U101" s="3">
        <f t="shared" si="201"/>
        <v>37.526758408181891</v>
      </c>
      <c r="V101" s="3">
        <f t="shared" si="202"/>
        <v>37.432839183565825</v>
      </c>
      <c r="W101" s="3">
        <f t="shared" si="203"/>
        <v>37.264133489411684</v>
      </c>
      <c r="X101" s="3">
        <f t="shared" si="204"/>
        <v>37.017083196874964</v>
      </c>
      <c r="Y101" s="3">
        <f t="shared" si="205"/>
        <v>36.682604153657998</v>
      </c>
      <c r="Z101" s="3">
        <f t="shared" si="206"/>
        <v>36.24354884963595</v>
      </c>
      <c r="AA101" s="3">
        <f t="shared" si="207"/>
        <v>35.669987923030327</v>
      </c>
      <c r="AB101" s="3">
        <f t="shared" si="208"/>
        <v>34.910197405107404</v>
      </c>
      <c r="AC101" s="3">
        <f t="shared" si="209"/>
        <v>33.872624079046496</v>
      </c>
      <c r="AD101" s="3">
        <f t="shared" si="210"/>
        <v>32.387788204029285</v>
      </c>
      <c r="AE101" s="3">
        <f t="shared" si="211"/>
        <v>30.123126391415127</v>
      </c>
      <c r="AF101" s="3">
        <f t="shared" si="212"/>
        <v>26.381785064115039</v>
      </c>
      <c r="AG101" s="3">
        <f t="shared" si="213"/>
        <v>19.601823773195335</v>
      </c>
      <c r="AH101" s="3">
        <v>0</v>
      </c>
      <c r="AI101"/>
      <c r="AJ101"/>
      <c r="AK101"/>
      <c r="AL101"/>
      <c r="AO101" s="19"/>
      <c r="AP101" s="3">
        <f t="shared" si="111"/>
        <v>0</v>
      </c>
      <c r="AQ101" s="3">
        <f t="shared" si="112"/>
        <v>-67717887.391195089</v>
      </c>
      <c r="AR101" s="3">
        <f t="shared" si="113"/>
        <v>-94694330.815898955</v>
      </c>
      <c r="AS101" s="3">
        <f t="shared" si="114"/>
        <v>-109159660.04162773</v>
      </c>
      <c r="AT101" s="3">
        <f t="shared" si="115"/>
        <v>-117731867.05621938</v>
      </c>
      <c r="AU101" s="3">
        <f t="shared" si="116"/>
        <v>-123251442.51868302</v>
      </c>
      <c r="AV101" s="3">
        <f t="shared" si="117"/>
        <v>-127025232.06140698</v>
      </c>
      <c r="AW101" s="3">
        <f t="shared" si="118"/>
        <v>-129699524.43443392</v>
      </c>
      <c r="AX101" s="3">
        <f t="shared" si="119"/>
        <v>-131617647.15661843</v>
      </c>
      <c r="AY101" s="3">
        <f t="shared" si="120"/>
        <v>-132974759.0760804</v>
      </c>
      <c r="AZ101" s="3">
        <f t="shared" si="121"/>
        <v>-133888683.05116186</v>
      </c>
      <c r="BA101" s="3">
        <f t="shared" si="122"/>
        <v>-134433964.07178813</v>
      </c>
      <c r="BB101" s="3">
        <f t="shared" si="123"/>
        <v>-134658791.58282483</v>
      </c>
      <c r="BC101" s="3">
        <f t="shared" si="124"/>
        <v>-134593345.07333902</v>
      </c>
      <c r="BD101" s="3">
        <f t="shared" si="125"/>
        <v>-134253408.00041977</v>
      </c>
      <c r="BE101" s="3">
        <f t="shared" si="126"/>
        <v>-133640908.34038922</v>
      </c>
      <c r="BF101" s="3">
        <f t="shared" si="127"/>
        <v>-132741830.73654594</v>
      </c>
      <c r="BG101" s="3">
        <f t="shared" si="128"/>
        <v>-131520966.3430241</v>
      </c>
      <c r="BH101" s="3">
        <f t="shared" si="129"/>
        <v>-129911671.51115263</v>
      </c>
      <c r="BI101" s="3">
        <f t="shared" si="130"/>
        <v>-127796395.47070472</v>
      </c>
      <c r="BJ101" s="3">
        <f t="shared" si="131"/>
        <v>-124968475.48086818</v>
      </c>
      <c r="BK101" s="3">
        <f t="shared" si="132"/>
        <v>-121053261.03153938</v>
      </c>
      <c r="BL101" s="3">
        <f t="shared" si="133"/>
        <v>-115335592.13439769</v>
      </c>
      <c r="BM101" s="3">
        <f t="shared" si="134"/>
        <v>-106359673.3684295</v>
      </c>
      <c r="BN101" s="3">
        <f t="shared" si="135"/>
        <v>-90947735.32563664</v>
      </c>
      <c r="BO101" s="3">
        <f t="shared" si="136"/>
        <v>-61667673.610917188</v>
      </c>
      <c r="BP101" s="3">
        <f t="shared" si="137"/>
        <v>0</v>
      </c>
      <c r="BW101" s="19"/>
      <c r="BX101" s="3">
        <v>1</v>
      </c>
      <c r="BY101" s="3">
        <f t="shared" si="138"/>
        <v>0.17972039376148968</v>
      </c>
      <c r="BZ101" s="3">
        <f t="shared" si="139"/>
        <v>0.17972039376148968</v>
      </c>
      <c r="CA101" s="3">
        <f t="shared" si="140"/>
        <v>0.17972039376148968</v>
      </c>
      <c r="CB101" s="3">
        <f t="shared" si="141"/>
        <v>0.17972039376148968</v>
      </c>
      <c r="CC101" s="3">
        <f t="shared" si="142"/>
        <v>0.17972039376148968</v>
      </c>
      <c r="CD101" s="3">
        <f t="shared" si="143"/>
        <v>0.17972039376148968</v>
      </c>
      <c r="CE101" s="3">
        <f t="shared" si="144"/>
        <v>0.17972039376148968</v>
      </c>
      <c r="CF101" s="3">
        <f t="shared" si="145"/>
        <v>0.17972039376148968</v>
      </c>
      <c r="CG101" s="3">
        <f t="shared" si="146"/>
        <v>0.17972039376148968</v>
      </c>
      <c r="CH101" s="3">
        <f t="shared" si="147"/>
        <v>0.17972039376148968</v>
      </c>
      <c r="CI101" s="3">
        <f t="shared" si="148"/>
        <v>0.17972039376148968</v>
      </c>
      <c r="CJ101" s="3">
        <f t="shared" si="149"/>
        <v>0.17972039376148968</v>
      </c>
      <c r="CK101" s="3">
        <f t="shared" si="150"/>
        <v>0.17972039376148968</v>
      </c>
      <c r="CL101" s="3">
        <f t="shared" si="151"/>
        <v>0.17972039376148968</v>
      </c>
      <c r="CM101" s="3">
        <f t="shared" si="152"/>
        <v>0.17972039376148968</v>
      </c>
      <c r="CN101" s="3">
        <f t="shared" si="153"/>
        <v>0.17972039376148968</v>
      </c>
      <c r="CO101" s="3">
        <f t="shared" si="154"/>
        <v>0.17972039376148968</v>
      </c>
      <c r="CP101" s="3">
        <f t="shared" si="155"/>
        <v>0.17972039376148968</v>
      </c>
      <c r="CQ101" s="3">
        <f t="shared" si="156"/>
        <v>0.17972039376148968</v>
      </c>
      <c r="CR101" s="3">
        <f t="shared" si="157"/>
        <v>0.17972039376148968</v>
      </c>
      <c r="CS101" s="3">
        <f t="shared" si="158"/>
        <v>0.17972039376148968</v>
      </c>
      <c r="CT101" s="3">
        <f t="shared" si="159"/>
        <v>0.17972039376148968</v>
      </c>
      <c r="CU101" s="3">
        <f t="shared" si="160"/>
        <v>0.17972039376148968</v>
      </c>
      <c r="CV101" s="3">
        <f t="shared" si="161"/>
        <v>0.17972039376148968</v>
      </c>
      <c r="CW101" s="3">
        <f t="shared" si="162"/>
        <v>0.17972039376148968</v>
      </c>
      <c r="CX101" s="3">
        <f t="shared" si="163"/>
        <v>0.17972039376148968</v>
      </c>
      <c r="DE101" s="19"/>
      <c r="DF101" s="3">
        <v>0</v>
      </c>
      <c r="DG101" s="3">
        <f t="shared" si="164"/>
        <v>18.534805053432375</v>
      </c>
      <c r="DH101" s="3">
        <f t="shared" si="165"/>
        <v>23.586330391744166</v>
      </c>
      <c r="DI101" s="3">
        <f t="shared" si="166"/>
        <v>26.295063190963905</v>
      </c>
      <c r="DJ101" s="3">
        <f t="shared" si="167"/>
        <v>27.900268156560262</v>
      </c>
      <c r="DK101" s="3">
        <f t="shared" si="168"/>
        <v>28.933846781673815</v>
      </c>
      <c r="DL101" s="3">
        <f t="shared" si="169"/>
        <v>29.640514936419105</v>
      </c>
      <c r="DM101" s="3">
        <f t="shared" si="170"/>
        <v>30.141294652696619</v>
      </c>
      <c r="DN101" s="3">
        <f t="shared" si="171"/>
        <v>30.500476379529943</v>
      </c>
      <c r="DO101" s="3">
        <f t="shared" si="172"/>
        <v>30.754604959052369</v>
      </c>
      <c r="DP101" s="3">
        <f t="shared" si="173"/>
        <v>30.925743535206806</v>
      </c>
      <c r="DQ101" s="3">
        <f t="shared" si="174"/>
        <v>31.027851172185805</v>
      </c>
      <c r="DR101" s="3">
        <f t="shared" si="175"/>
        <v>31.069951676350538</v>
      </c>
      <c r="DS101" s="3">
        <f t="shared" si="176"/>
        <v>31.057696365457002</v>
      </c>
      <c r="DT101" s="3">
        <f t="shared" si="177"/>
        <v>30.994040800850193</v>
      </c>
      <c r="DU101" s="3">
        <f t="shared" si="178"/>
        <v>30.879346009411591</v>
      </c>
      <c r="DV101" s="3">
        <f t="shared" si="179"/>
        <v>30.710987518804789</v>
      </c>
      <c r="DW101" s="3">
        <f t="shared" si="180"/>
        <v>30.482372229479044</v>
      </c>
      <c r="DX101" s="3">
        <f t="shared" si="181"/>
        <v>30.181020657960598</v>
      </c>
      <c r="DY101" s="3">
        <f t="shared" si="182"/>
        <v>29.784920610685234</v>
      </c>
      <c r="DZ101" s="3">
        <f t="shared" si="183"/>
        <v>29.255373062163851</v>
      </c>
      <c r="EA101" s="3">
        <f t="shared" si="184"/>
        <v>28.522222116935939</v>
      </c>
      <c r="EB101" s="3">
        <f t="shared" si="185"/>
        <v>27.451549128088985</v>
      </c>
      <c r="EC101" s="3">
        <f t="shared" si="186"/>
        <v>25.770746348898523</v>
      </c>
      <c r="ED101" s="3">
        <f t="shared" si="187"/>
        <v>22.884754511132229</v>
      </c>
      <c r="EE101" s="3">
        <f t="shared" si="188"/>
        <v>17.401860738568068</v>
      </c>
      <c r="EF101" s="3">
        <v>0</v>
      </c>
    </row>
    <row r="102" spans="7:136" x14ac:dyDescent="0.3">
      <c r="G102" s="13"/>
      <c r="H102" s="3">
        <v>0</v>
      </c>
      <c r="I102" s="3">
        <v>50</v>
      </c>
      <c r="J102" s="3">
        <v>50</v>
      </c>
      <c r="K102" s="3">
        <v>50</v>
      </c>
      <c r="L102" s="3">
        <v>50</v>
      </c>
      <c r="M102" s="3">
        <v>50</v>
      </c>
      <c r="N102" s="3">
        <v>50</v>
      </c>
      <c r="O102" s="3">
        <v>50</v>
      </c>
      <c r="P102" s="3">
        <v>50</v>
      </c>
      <c r="Q102" s="3">
        <v>50</v>
      </c>
      <c r="R102" s="3">
        <v>50</v>
      </c>
      <c r="S102" s="3">
        <v>50</v>
      </c>
      <c r="T102" s="3">
        <v>50</v>
      </c>
      <c r="U102" s="3">
        <v>50</v>
      </c>
      <c r="V102" s="3">
        <v>50</v>
      </c>
      <c r="W102" s="3">
        <v>50</v>
      </c>
      <c r="X102" s="3">
        <v>50</v>
      </c>
      <c r="Y102" s="3">
        <v>50</v>
      </c>
      <c r="Z102" s="3">
        <v>50</v>
      </c>
      <c r="AA102" s="3">
        <v>50</v>
      </c>
      <c r="AB102" s="3">
        <v>50</v>
      </c>
      <c r="AC102" s="3">
        <v>50</v>
      </c>
      <c r="AD102" s="3">
        <v>50</v>
      </c>
      <c r="AE102" s="3">
        <v>50</v>
      </c>
      <c r="AF102" s="3">
        <v>50</v>
      </c>
      <c r="AG102" s="3">
        <v>50</v>
      </c>
      <c r="AH102" s="3">
        <v>0</v>
      </c>
      <c r="AI102"/>
      <c r="AJ102"/>
      <c r="AK102"/>
      <c r="AL102"/>
      <c r="AO102" s="19"/>
      <c r="AP102" s="3">
        <f t="shared" si="111"/>
        <v>0</v>
      </c>
      <c r="AQ102" s="3">
        <f t="shared" si="112"/>
        <v>-179400000</v>
      </c>
      <c r="AR102" s="3">
        <f t="shared" si="113"/>
        <v>-179400000</v>
      </c>
      <c r="AS102" s="3">
        <f t="shared" si="114"/>
        <v>-179400000</v>
      </c>
      <c r="AT102" s="3">
        <f t="shared" si="115"/>
        <v>-179400000</v>
      </c>
      <c r="AU102" s="3">
        <f t="shared" si="116"/>
        <v>-179400000</v>
      </c>
      <c r="AV102" s="3">
        <f t="shared" si="117"/>
        <v>-179400000</v>
      </c>
      <c r="AW102" s="3">
        <f t="shared" si="118"/>
        <v>-179400000</v>
      </c>
      <c r="AX102" s="3">
        <f t="shared" si="119"/>
        <v>-179400000</v>
      </c>
      <c r="AY102" s="3">
        <f t="shared" si="120"/>
        <v>-179400000</v>
      </c>
      <c r="AZ102" s="3">
        <f t="shared" si="121"/>
        <v>-179400000</v>
      </c>
      <c r="BA102" s="3">
        <f t="shared" si="122"/>
        <v>-179400000</v>
      </c>
      <c r="BB102" s="3">
        <f t="shared" si="123"/>
        <v>-179400000</v>
      </c>
      <c r="BC102" s="3">
        <f t="shared" si="124"/>
        <v>-179400000</v>
      </c>
      <c r="BD102" s="3">
        <f t="shared" si="125"/>
        <v>-179400000</v>
      </c>
      <c r="BE102" s="3">
        <f t="shared" si="126"/>
        <v>-179400000</v>
      </c>
      <c r="BF102" s="3">
        <f t="shared" si="127"/>
        <v>-179400000</v>
      </c>
      <c r="BG102" s="3">
        <f t="shared" si="128"/>
        <v>-179400000</v>
      </c>
      <c r="BH102" s="3">
        <f t="shared" si="129"/>
        <v>-179400000</v>
      </c>
      <c r="BI102" s="3">
        <f t="shared" si="130"/>
        <v>-179400000</v>
      </c>
      <c r="BJ102" s="3">
        <f t="shared" si="131"/>
        <v>-179400000</v>
      </c>
      <c r="BK102" s="3">
        <f t="shared" si="132"/>
        <v>-179400000</v>
      </c>
      <c r="BL102" s="3">
        <f t="shared" si="133"/>
        <v>-179400000</v>
      </c>
      <c r="BM102" s="3">
        <f t="shared" si="134"/>
        <v>-179400000</v>
      </c>
      <c r="BN102" s="3">
        <f t="shared" si="135"/>
        <v>-179400000</v>
      </c>
      <c r="BO102" s="3">
        <f t="shared" si="136"/>
        <v>-179400000</v>
      </c>
      <c r="BP102" s="3">
        <f t="shared" si="137"/>
        <v>0</v>
      </c>
      <c r="BW102" s="19"/>
      <c r="BX102" s="3">
        <v>1</v>
      </c>
      <c r="BY102" s="3">
        <f t="shared" si="138"/>
        <v>0.17426273458445043</v>
      </c>
      <c r="BZ102" s="3">
        <f t="shared" si="139"/>
        <v>0.17426273458445043</v>
      </c>
      <c r="CA102" s="3">
        <f t="shared" si="140"/>
        <v>0.17426273458445043</v>
      </c>
      <c r="CB102" s="3">
        <f t="shared" si="141"/>
        <v>0.17426273458445043</v>
      </c>
      <c r="CC102" s="3">
        <f t="shared" si="142"/>
        <v>0.17426273458445043</v>
      </c>
      <c r="CD102" s="3">
        <f t="shared" si="143"/>
        <v>0.17426273458445043</v>
      </c>
      <c r="CE102" s="3">
        <f t="shared" si="144"/>
        <v>0.17426273458445043</v>
      </c>
      <c r="CF102" s="3">
        <f t="shared" si="145"/>
        <v>0.17426273458445043</v>
      </c>
      <c r="CG102" s="3">
        <f t="shared" si="146"/>
        <v>0.17426273458445043</v>
      </c>
      <c r="CH102" s="3">
        <f t="shared" si="147"/>
        <v>0.17426273458445043</v>
      </c>
      <c r="CI102" s="3">
        <f t="shared" si="148"/>
        <v>0.17426273458445043</v>
      </c>
      <c r="CJ102" s="3">
        <f t="shared" si="149"/>
        <v>0.17426273458445043</v>
      </c>
      <c r="CK102" s="3">
        <f t="shared" si="150"/>
        <v>0.17426273458445043</v>
      </c>
      <c r="CL102" s="3">
        <f t="shared" si="151"/>
        <v>0.17426273458445043</v>
      </c>
      <c r="CM102" s="3">
        <f t="shared" si="152"/>
        <v>0.17426273458445043</v>
      </c>
      <c r="CN102" s="3">
        <f t="shared" si="153"/>
        <v>0.17426273458445043</v>
      </c>
      <c r="CO102" s="3">
        <f t="shared" si="154"/>
        <v>0.17426273458445043</v>
      </c>
      <c r="CP102" s="3">
        <f t="shared" si="155"/>
        <v>0.17426273458445043</v>
      </c>
      <c r="CQ102" s="3">
        <f t="shared" si="156"/>
        <v>0.17426273458445043</v>
      </c>
      <c r="CR102" s="3">
        <f t="shared" si="157"/>
        <v>0.17426273458445043</v>
      </c>
      <c r="CS102" s="3">
        <f t="shared" si="158"/>
        <v>0.17426273458445043</v>
      </c>
      <c r="CT102" s="3">
        <f t="shared" si="159"/>
        <v>0.17426273458445043</v>
      </c>
      <c r="CU102" s="3">
        <f t="shared" si="160"/>
        <v>0.17426273458445043</v>
      </c>
      <c r="CV102" s="3">
        <f t="shared" si="161"/>
        <v>0.17426273458445043</v>
      </c>
      <c r="CW102" s="3">
        <f t="shared" si="162"/>
        <v>0.17426273458445043</v>
      </c>
      <c r="CX102" s="3">
        <f t="shared" si="163"/>
        <v>0.17426273458445043</v>
      </c>
      <c r="DE102" s="19"/>
      <c r="DF102" s="3">
        <v>0</v>
      </c>
      <c r="DG102" s="3">
        <f t="shared" si="164"/>
        <v>32.573726541554954</v>
      </c>
      <c r="DH102" s="3">
        <f t="shared" si="165"/>
        <v>32.573726541554954</v>
      </c>
      <c r="DI102" s="3">
        <f t="shared" si="166"/>
        <v>32.573726541554954</v>
      </c>
      <c r="DJ102" s="3">
        <f t="shared" si="167"/>
        <v>32.573726541554954</v>
      </c>
      <c r="DK102" s="3">
        <f t="shared" si="168"/>
        <v>32.573726541554954</v>
      </c>
      <c r="DL102" s="3">
        <f t="shared" si="169"/>
        <v>32.573726541554954</v>
      </c>
      <c r="DM102" s="3">
        <f t="shared" si="170"/>
        <v>32.573726541554954</v>
      </c>
      <c r="DN102" s="3">
        <f t="shared" si="171"/>
        <v>32.573726541554954</v>
      </c>
      <c r="DO102" s="3">
        <f t="shared" si="172"/>
        <v>32.573726541554954</v>
      </c>
      <c r="DP102" s="3">
        <f t="shared" si="173"/>
        <v>32.573726541554954</v>
      </c>
      <c r="DQ102" s="3">
        <f t="shared" si="174"/>
        <v>32.573726541554954</v>
      </c>
      <c r="DR102" s="3">
        <f t="shared" si="175"/>
        <v>32.573726541554954</v>
      </c>
      <c r="DS102" s="3">
        <f t="shared" si="176"/>
        <v>32.573726541554954</v>
      </c>
      <c r="DT102" s="3">
        <f t="shared" si="177"/>
        <v>32.573726541554954</v>
      </c>
      <c r="DU102" s="3">
        <f t="shared" si="178"/>
        <v>32.573726541554954</v>
      </c>
      <c r="DV102" s="3">
        <f t="shared" si="179"/>
        <v>32.573726541554954</v>
      </c>
      <c r="DW102" s="3">
        <f t="shared" si="180"/>
        <v>32.573726541554954</v>
      </c>
      <c r="DX102" s="3">
        <f t="shared" si="181"/>
        <v>32.573726541554954</v>
      </c>
      <c r="DY102" s="3">
        <f t="shared" si="182"/>
        <v>32.573726541554954</v>
      </c>
      <c r="DZ102" s="3">
        <f t="shared" si="183"/>
        <v>32.573726541554954</v>
      </c>
      <c r="EA102" s="3">
        <f t="shared" si="184"/>
        <v>32.573726541554954</v>
      </c>
      <c r="EB102" s="3">
        <f t="shared" si="185"/>
        <v>32.573726541554954</v>
      </c>
      <c r="EC102" s="3">
        <f t="shared" si="186"/>
        <v>32.573726541554954</v>
      </c>
      <c r="ED102" s="3">
        <f t="shared" si="187"/>
        <v>32.573726541554954</v>
      </c>
      <c r="EE102" s="3">
        <f t="shared" si="188"/>
        <v>32.573726541554954</v>
      </c>
      <c r="EF102" s="3">
        <v>0</v>
      </c>
    </row>
    <row r="103" spans="7:136" x14ac:dyDescent="0.3">
      <c r="G103"/>
      <c r="H103"/>
      <c r="AI103"/>
      <c r="AJ103"/>
      <c r="AK103"/>
      <c r="AL103"/>
      <c r="AO103" s="19"/>
      <c r="BW103" s="10"/>
      <c r="DE103" s="10"/>
    </row>
    <row r="104" spans="7:136" x14ac:dyDescent="0.3">
      <c r="G104"/>
      <c r="H104"/>
      <c r="AI104"/>
      <c r="AJ104"/>
      <c r="AK104"/>
      <c r="AL104"/>
      <c r="AO104" s="19"/>
      <c r="BW104" s="10"/>
      <c r="DE104" s="10"/>
    </row>
    <row r="105" spans="7:136" x14ac:dyDescent="0.3">
      <c r="G105"/>
      <c r="H105"/>
      <c r="AI105"/>
      <c r="AJ105"/>
      <c r="AK105"/>
      <c r="AL105"/>
      <c r="AO105" s="19"/>
      <c r="BW105" s="10"/>
      <c r="DE105" s="10"/>
    </row>
    <row r="106" spans="7:136" x14ac:dyDescent="0.3">
      <c r="G106"/>
      <c r="H106"/>
      <c r="AI106"/>
      <c r="AJ106"/>
      <c r="AK106"/>
      <c r="AL106"/>
      <c r="AO106" s="19"/>
      <c r="BW106" s="10"/>
      <c r="DE106" s="10"/>
    </row>
    <row r="107" spans="7:136" x14ac:dyDescent="0.3">
      <c r="G107"/>
      <c r="H107"/>
      <c r="BW107" s="11"/>
    </row>
  </sheetData>
  <mergeCells count="13">
    <mergeCell ref="AO43:AO73"/>
    <mergeCell ref="AO76:AO106"/>
    <mergeCell ref="DE76:DE102"/>
    <mergeCell ref="DE43:DE69"/>
    <mergeCell ref="BW76:BW102"/>
    <mergeCell ref="BW43:BW69"/>
    <mergeCell ref="G42:G69"/>
    <mergeCell ref="G75:G102"/>
    <mergeCell ref="A2:A7"/>
    <mergeCell ref="A9:A11"/>
    <mergeCell ref="A13:A14"/>
    <mergeCell ref="A19:A21"/>
    <mergeCell ref="A24:A26"/>
  </mergeCells>
  <conditionalFormatting sqref="AI38:AL41 H11:AL37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terat2D">
                <anchor moveWithCells="1" sizeWithCells="1">
                  <from>
                    <xdr:col>0</xdr:col>
                    <xdr:colOff>297180</xdr:colOff>
                    <xdr:row>37</xdr:row>
                    <xdr:rowOff>38100</xdr:rowOff>
                  </from>
                  <to>
                    <xdr:col>2</xdr:col>
                    <xdr:colOff>259080</xdr:colOff>
                    <xdr:row>39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AJ21"/>
  <sheetViews>
    <sheetView zoomScale="70" zoomScaleNormal="70" workbookViewId="0">
      <selection activeCell="G11" sqref="G11:AI11"/>
    </sheetView>
  </sheetViews>
  <sheetFormatPr defaultRowHeight="14.4" x14ac:dyDescent="0.3"/>
  <cols>
    <col min="7" max="7" width="12.109375" bestFit="1" customWidth="1"/>
  </cols>
  <sheetData>
    <row r="2" spans="2:36" x14ac:dyDescent="0.3">
      <c r="B2" s="1" t="s">
        <v>0</v>
      </c>
      <c r="C2" s="1">
        <v>0.1</v>
      </c>
    </row>
    <row r="3" spans="2:36" x14ac:dyDescent="0.3">
      <c r="B3" s="1" t="s">
        <v>2</v>
      </c>
      <c r="C3" s="1">
        <f>C2/30</f>
        <v>3.3333333333333335E-3</v>
      </c>
    </row>
    <row r="4" spans="2:36" x14ac:dyDescent="0.3">
      <c r="B4" s="1" t="s">
        <v>5</v>
      </c>
      <c r="C4" s="1">
        <v>1</v>
      </c>
    </row>
    <row r="5" spans="2:36" x14ac:dyDescent="0.3">
      <c r="B5" s="1" t="s">
        <v>4</v>
      </c>
      <c r="C5" s="1">
        <v>60</v>
      </c>
      <c r="D5">
        <v>60</v>
      </c>
    </row>
    <row r="7" spans="2:36" x14ac:dyDescent="0.3">
      <c r="B7" s="1" t="s">
        <v>6</v>
      </c>
      <c r="C7" s="1">
        <v>460</v>
      </c>
    </row>
    <row r="8" spans="2:36" x14ac:dyDescent="0.3">
      <c r="B8" s="1" t="s">
        <v>7</v>
      </c>
      <c r="C8" s="1">
        <v>7800</v>
      </c>
    </row>
    <row r="9" spans="2:36" x14ac:dyDescent="0.3">
      <c r="B9" s="1" t="s">
        <v>8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9</v>
      </c>
      <c r="C11" s="1">
        <v>300</v>
      </c>
      <c r="E11" t="s">
        <v>10</v>
      </c>
      <c r="F11">
        <f>C11</f>
        <v>300</v>
      </c>
      <c r="G11">
        <v>280.08693913290779</v>
      </c>
      <c r="H11">
        <v>260.34528884307156</v>
      </c>
      <c r="I11">
        <v>240.94322870396985</v>
      </c>
      <c r="J11">
        <v>222.04259121089365</v>
      </c>
      <c r="K11">
        <v>203.79596876432669</v>
      </c>
      <c r="L11">
        <v>186.34413876917304</v>
      </c>
      <c r="M11">
        <v>169.81388358198302</v>
      </c>
      <c r="N11">
        <v>154.31625985996357</v>
      </c>
      <c r="O11">
        <v>139.94534749959706</v>
      </c>
      <c r="P11">
        <v>126.77748357718193</v>
      </c>
      <c r="Q11">
        <v>114.87096325508222</v>
      </c>
      <c r="R11">
        <v>104.26616904525903</v>
      </c>
      <c r="S11">
        <v>94.986073365012174</v>
      </c>
      <c r="T11">
        <v>87.037047818685082</v>
      </c>
      <c r="U11">
        <v>80.409906485303551</v>
      </c>
      <c r="V11">
        <v>75.081109624202284</v>
      </c>
      <c r="W11">
        <v>71.014058149603102</v>
      </c>
      <c r="X11">
        <v>68.160417145848228</v>
      </c>
      <c r="Y11">
        <v>66.461417524955024</v>
      </c>
      <c r="Z11">
        <v>65.849097461429992</v>
      </c>
      <c r="AA11">
        <v>66.247458255201138</v>
      </c>
      <c r="AB11">
        <v>67.573521648220535</v>
      </c>
      <c r="AC11">
        <v>69.738286421168482</v>
      </c>
      <c r="AD11">
        <v>72.64759065221422</v>
      </c>
      <c r="AE11">
        <v>76.202891959402834</v>
      </c>
      <c r="AF11">
        <v>80.30198131052552</v>
      </c>
      <c r="AG11">
        <v>84.839646794335664</v>
      </c>
      <c r="AH11">
        <v>89.708302566510568</v>
      </c>
      <c r="AI11">
        <v>94.798595640746925</v>
      </c>
      <c r="AJ11">
        <f>C12</f>
        <v>100</v>
      </c>
    </row>
    <row r="12" spans="2:36" x14ac:dyDescent="0.3">
      <c r="B12" s="1" t="s">
        <v>11</v>
      </c>
      <c r="C12" s="1">
        <v>100</v>
      </c>
    </row>
    <row r="13" spans="2:36" x14ac:dyDescent="0.3">
      <c r="E13" t="s">
        <v>12</v>
      </c>
      <c r="G13">
        <f t="shared" ref="G13:AH13" si="1">G17*H13+G19</f>
        <v>280.28058441744241</v>
      </c>
      <c r="H13">
        <f t="shared" si="1"/>
        <v>260.72899474814812</v>
      </c>
      <c r="I13">
        <f t="shared" si="1"/>
        <v>241.50995019658686</v>
      </c>
      <c r="J13">
        <f t="shared" si="1"/>
        <v>222.78206427196028</v>
      </c>
      <c r="K13">
        <f t="shared" si="1"/>
        <v>204.69505500025815</v>
      </c>
      <c r="L13">
        <f t="shared" si="1"/>
        <v>187.38725379969665</v>
      </c>
      <c r="M13">
        <f t="shared" si="1"/>
        <v>170.98348562558894</v>
      </c>
      <c r="N13">
        <f t="shared" si="1"/>
        <v>155.59337255593965</v>
      </c>
      <c r="O13">
        <f t="shared" si="1"/>
        <v>141.31009048946964</v>
      </c>
      <c r="P13">
        <f t="shared" si="1"/>
        <v>128.20958568088923</v>
      </c>
      <c r="Q13">
        <f t="shared" si="1"/>
        <v>116.35023602885518</v>
      </c>
      <c r="R13">
        <f t="shared" si="1"/>
        <v>105.77292278075768</v>
      </c>
      <c r="S13">
        <f t="shared" si="1"/>
        <v>96.501462770092388</v>
      </c>
      <c r="T13">
        <f t="shared" si="1"/>
        <v>88.543340243829945</v>
      </c>
      <c r="U13">
        <f t="shared" si="1"/>
        <v>81.890671152693045</v>
      </c>
      <c r="V13">
        <f t="shared" si="1"/>
        <v>76.521331439960363</v>
      </c>
      <c r="W13">
        <f t="shared" si="1"/>
        <v>72.400183967551357</v>
      </c>
      <c r="X13">
        <f t="shared" si="1"/>
        <v>69.480345537364187</v>
      </c>
      <c r="Y13">
        <f t="shared" si="1"/>
        <v>67.704445046490861</v>
      </c>
      <c r="Z13">
        <f t="shared" si="1"/>
        <v>67.005835074281933</v>
      </c>
      <c r="AA13">
        <f t="shared" si="1"/>
        <v>67.309731033211335</v>
      </c>
      <c r="AB13">
        <f t="shared" si="1"/>
        <v>68.534263399749605</v>
      </c>
      <c r="AC13">
        <f t="shared" si="1"/>
        <v>70.591438617613093</v>
      </c>
      <c r="AD13">
        <f t="shared" si="1"/>
        <v>73.388012405728603</v>
      </c>
      <c r="AE13">
        <f t="shared" si="1"/>
        <v>76.826285046889922</v>
      </c>
      <c r="AF13">
        <f t="shared" si="1"/>
        <v>80.804831697206723</v>
      </c>
      <c r="AG13">
        <f t="shared" si="1"/>
        <v>85.219182015980607</v>
      </c>
      <c r="AH13">
        <f t="shared" si="1"/>
        <v>89.962462860180125</v>
      </c>
      <c r="AI13">
        <f>AI17*AJ13+AI19</f>
        <v>94.926015958893288</v>
      </c>
      <c r="AJ13">
        <f>AJ11</f>
        <v>100</v>
      </c>
    </row>
    <row r="15" spans="2:36" x14ac:dyDescent="0.3">
      <c r="E15" t="s">
        <v>13</v>
      </c>
      <c r="G15">
        <f>-$C$8*$C$7/$C$4*G11</f>
        <v>-1004951937.6088731</v>
      </c>
      <c r="H15">
        <f t="shared" ref="H15:AH15" si="2">-$C$8*$C$7/$C$4*H11</f>
        <v>-934118896.36894071</v>
      </c>
      <c r="I15">
        <f t="shared" si="2"/>
        <v>-864504304.58984387</v>
      </c>
      <c r="J15">
        <f t="shared" si="2"/>
        <v>-796688817.26468647</v>
      </c>
      <c r="K15">
        <f t="shared" si="2"/>
        <v>-731219935.92640412</v>
      </c>
      <c r="L15">
        <f t="shared" si="2"/>
        <v>-668602769.90379286</v>
      </c>
      <c r="M15">
        <f t="shared" si="2"/>
        <v>-609292214.29215503</v>
      </c>
      <c r="N15">
        <f t="shared" si="2"/>
        <v>-553686740.37754929</v>
      </c>
      <c r="O15">
        <f t="shared" si="2"/>
        <v>-502123906.82855427</v>
      </c>
      <c r="P15">
        <f t="shared" si="2"/>
        <v>-454877611.07492876</v>
      </c>
      <c r="Q15">
        <f t="shared" si="2"/>
        <v>-412157016.159235</v>
      </c>
      <c r="R15">
        <f t="shared" si="2"/>
        <v>-374107014.53438944</v>
      </c>
      <c r="S15">
        <f t="shared" si="2"/>
        <v>-340810031.23366368</v>
      </c>
      <c r="T15">
        <f t="shared" si="2"/>
        <v>-312288927.5734421</v>
      </c>
      <c r="U15">
        <f t="shared" si="2"/>
        <v>-288510744.46926916</v>
      </c>
      <c r="V15">
        <f t="shared" si="2"/>
        <v>-269391021.3316378</v>
      </c>
      <c r="W15">
        <f t="shared" si="2"/>
        <v>-254798440.64077592</v>
      </c>
      <c r="X15">
        <f t="shared" si="2"/>
        <v>-244559576.71930343</v>
      </c>
      <c r="Y15">
        <f t="shared" si="2"/>
        <v>-238463566.07953861</v>
      </c>
      <c r="Z15">
        <f t="shared" si="2"/>
        <v>-236266561.69161081</v>
      </c>
      <c r="AA15">
        <f t="shared" si="2"/>
        <v>-237695880.21966168</v>
      </c>
      <c r="AB15">
        <f t="shared" si="2"/>
        <v>-242453795.67381528</v>
      </c>
      <c r="AC15">
        <f t="shared" si="2"/>
        <v>-250220971.67915252</v>
      </c>
      <c r="AD15">
        <f t="shared" si="2"/>
        <v>-260659555.26014462</v>
      </c>
      <c r="AE15">
        <f t="shared" si="2"/>
        <v>-273415976.35033739</v>
      </c>
      <c r="AF15">
        <f t="shared" si="2"/>
        <v>-288123508.94216555</v>
      </c>
      <c r="AG15">
        <f t="shared" si="2"/>
        <v>-304404652.69807637</v>
      </c>
      <c r="AH15">
        <f t="shared" si="2"/>
        <v>-321873389.6086399</v>
      </c>
      <c r="AI15">
        <f>-$C$8*$C$7/$C$4*AI11</f>
        <v>-340137361.15899998</v>
      </c>
    </row>
    <row r="17" spans="2:35" x14ac:dyDescent="0.3">
      <c r="B17" s="1" t="s">
        <v>14</v>
      </c>
      <c r="C17" s="1">
        <f>C9/(C3^2)</f>
        <v>4139999.9999999991</v>
      </c>
      <c r="E17" t="s">
        <v>15</v>
      </c>
      <c r="F17">
        <v>0</v>
      </c>
      <c r="G17">
        <f>$C$17/($C$18-$C$19*F17)</f>
        <v>0.34883720930232553</v>
      </c>
      <c r="H17">
        <f t="shared" ref="H17:AH17" si="3">$C$17/($C$18-$C$19*G17)</f>
        <v>0.39716748768472904</v>
      </c>
      <c r="I17">
        <f t="shared" si="3"/>
        <v>0.40494040593779607</v>
      </c>
      <c r="J17">
        <f t="shared" si="3"/>
        <v>0.4062190081621499</v>
      </c>
      <c r="K17">
        <f t="shared" si="3"/>
        <v>0.40643010492156101</v>
      </c>
      <c r="L17">
        <f t="shared" si="3"/>
        <v>0.40646497802255066</v>
      </c>
      <c r="M17">
        <f t="shared" si="3"/>
        <v>0.40647073962099717</v>
      </c>
      <c r="N17">
        <f t="shared" si="3"/>
        <v>0.40647169154566137</v>
      </c>
      <c r="O17">
        <f t="shared" si="3"/>
        <v>0.40647184882198806</v>
      </c>
      <c r="P17">
        <f t="shared" si="3"/>
        <v>0.40647187480708435</v>
      </c>
      <c r="Q17">
        <f t="shared" si="3"/>
        <v>0.40647187910032606</v>
      </c>
      <c r="R17">
        <f t="shared" si="3"/>
        <v>0.40647187980965277</v>
      </c>
      <c r="S17">
        <f t="shared" si="3"/>
        <v>0.4064718799268473</v>
      </c>
      <c r="T17">
        <f t="shared" si="3"/>
        <v>0.40647187994621015</v>
      </c>
      <c r="U17">
        <f t="shared" si="3"/>
        <v>0.40647187994940925</v>
      </c>
      <c r="V17">
        <f t="shared" si="3"/>
        <v>0.40647187994993778</v>
      </c>
      <c r="W17">
        <f t="shared" si="3"/>
        <v>0.40647187995002515</v>
      </c>
      <c r="X17">
        <f t="shared" si="3"/>
        <v>0.40647187995003953</v>
      </c>
      <c r="Y17">
        <f t="shared" si="3"/>
        <v>0.40647187995004191</v>
      </c>
      <c r="Z17">
        <f t="shared" si="3"/>
        <v>0.40647187995004236</v>
      </c>
      <c r="AA17">
        <f t="shared" si="3"/>
        <v>0.40647187995004236</v>
      </c>
      <c r="AB17">
        <f t="shared" si="3"/>
        <v>0.40647187995004236</v>
      </c>
      <c r="AC17">
        <f t="shared" si="3"/>
        <v>0.40647187995004236</v>
      </c>
      <c r="AD17">
        <f t="shared" si="3"/>
        <v>0.40647187995004236</v>
      </c>
      <c r="AE17">
        <f t="shared" si="3"/>
        <v>0.40647187995004236</v>
      </c>
      <c r="AF17">
        <f t="shared" si="3"/>
        <v>0.40647187995004236</v>
      </c>
      <c r="AG17">
        <f t="shared" si="3"/>
        <v>0.40647187995004236</v>
      </c>
      <c r="AH17">
        <f t="shared" si="3"/>
        <v>0.40647187995004236</v>
      </c>
      <c r="AI17">
        <f>$C$17/($C$18-$C$19*AH17)</f>
        <v>0.40647187995004236</v>
      </c>
    </row>
    <row r="18" spans="2:35" x14ac:dyDescent="0.3">
      <c r="B18" s="1" t="s">
        <v>16</v>
      </c>
      <c r="C18" s="1">
        <f>2*C9/(C3^2)+C8*C7/C4</f>
        <v>11867999.999999998</v>
      </c>
    </row>
    <row r="19" spans="2:35" x14ac:dyDescent="0.3">
      <c r="B19" s="1" t="s">
        <v>17</v>
      </c>
      <c r="C19" s="1">
        <f>C17</f>
        <v>4139999.9999999991</v>
      </c>
      <c r="E19" t="s">
        <v>18</v>
      </c>
      <c r="F19">
        <f>F11</f>
        <v>300</v>
      </c>
      <c r="G19">
        <f>(F19*$C$19-G15)/($C$18-$C$19*F17)</f>
        <v>189.32860950529772</v>
      </c>
      <c r="H19">
        <f t="shared" ref="H19:AH19" si="4">(G19*$C$19-H15)/($C$18-$C$19*G17)</f>
        <v>164.80909457770568</v>
      </c>
      <c r="I19">
        <f t="shared" si="4"/>
        <v>151.29649065463909</v>
      </c>
      <c r="J19">
        <f t="shared" si="4"/>
        <v>139.6310420540587</v>
      </c>
      <c r="K19">
        <f t="shared" si="4"/>
        <v>128.53523377748428</v>
      </c>
      <c r="L19">
        <f t="shared" si="4"/>
        <v>117.88845507267254</v>
      </c>
      <c r="M19">
        <f t="shared" si="4"/>
        <v>107.73933240265079</v>
      </c>
      <c r="N19">
        <f t="shared" si="4"/>
        <v>98.154821042214451</v>
      </c>
      <c r="O19">
        <f t="shared" si="4"/>
        <v>89.196503161057521</v>
      </c>
      <c r="P19">
        <f t="shared" si="4"/>
        <v>80.916487107993703</v>
      </c>
      <c r="Q19">
        <f t="shared" si="4"/>
        <v>73.356517348226916</v>
      </c>
      <c r="R19">
        <f t="shared" si="4"/>
        <v>66.547791804217013</v>
      </c>
      <c r="S19">
        <f t="shared" si="4"/>
        <v>60.511084806180349</v>
      </c>
      <c r="T19">
        <f t="shared" si="4"/>
        <v>55.257085190337925</v>
      </c>
      <c r="U19">
        <f t="shared" si="4"/>
        <v>50.786901706060519</v>
      </c>
      <c r="V19">
        <f t="shared" si="4"/>
        <v>47.092692553948417</v>
      </c>
      <c r="W19">
        <f t="shared" si="4"/>
        <v>44.1583772974016</v>
      </c>
      <c r="X19">
        <f t="shared" si="4"/>
        <v>41.960392478342904</v>
      </c>
      <c r="Y19">
        <f t="shared" si="4"/>
        <v>40.468457296225026</v>
      </c>
      <c r="Z19">
        <f t="shared" si="4"/>
        <v>39.646322162280811</v>
      </c>
      <c r="AA19">
        <f t="shared" si="4"/>
        <v>39.452480148123733</v>
      </c>
      <c r="AB19">
        <f t="shared" si="4"/>
        <v>39.840828636470391</v>
      </c>
      <c r="AC19">
        <f t="shared" si="4"/>
        <v>40.761275249259562</v>
      </c>
      <c r="AD19">
        <f t="shared" si="4"/>
        <v>42.16028789314143</v>
      </c>
      <c r="AE19">
        <f t="shared" si="4"/>
        <v>43.981393197879527</v>
      </c>
      <c r="AF19">
        <f t="shared" si="4"/>
        <v>46.165630575366244</v>
      </c>
      <c r="AG19">
        <f t="shared" si="4"/>
        <v>48.651970612267327</v>
      </c>
      <c r="AH19">
        <f t="shared" si="4"/>
        <v>51.377706697201049</v>
      </c>
      <c r="AI19">
        <f>(AH19*$C$19-AI15)/($C$18-$C$19*AH17)</f>
        <v>54.27882796388905</v>
      </c>
    </row>
    <row r="21" spans="2:35" x14ac:dyDescent="0.3">
      <c r="E21" t="s">
        <v>19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terat1D">
                <anchor moveWithCells="1" sizeWithCells="1">
                  <from>
                    <xdr:col>3</xdr:col>
                    <xdr:colOff>297180</xdr:colOff>
                    <xdr:row>25</xdr:row>
                    <xdr:rowOff>38100</xdr:rowOff>
                  </from>
                  <to>
                    <xdr:col>5</xdr:col>
                    <xdr:colOff>259080</xdr:colOff>
                    <xdr:row>27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2д</vt:lpstr>
      <vt:lpstr>1д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2021-05-28T09:27:55Z</dcterms:modified>
</cp:coreProperties>
</file>