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filterPrivacy="1" codeName="ЭтаКнига"/>
  <xr:revisionPtr revIDLastSave="0" documentId="13_ncr:1_{82F09C1B-83EA-43EF-9921-A4A108486411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2д" sheetId="1" r:id="rId1"/>
    <sheet name="1д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AP44" i="1" l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AP43" i="1"/>
  <c r="H102" i="1" l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69" i="1"/>
  <c r="AP102" i="1" s="1"/>
  <c r="H68" i="1"/>
  <c r="AP101" i="1" s="1"/>
  <c r="H67" i="1"/>
  <c r="AP100" i="1" s="1"/>
  <c r="H66" i="1"/>
  <c r="AP99" i="1" s="1"/>
  <c r="H65" i="1"/>
  <c r="AP98" i="1" s="1"/>
  <c r="H64" i="1"/>
  <c r="AP97" i="1" s="1"/>
  <c r="H63" i="1"/>
  <c r="AP96" i="1" s="1"/>
  <c r="H62" i="1"/>
  <c r="AP95" i="1" s="1"/>
  <c r="H61" i="1"/>
  <c r="AP94" i="1" s="1"/>
  <c r="H60" i="1"/>
  <c r="AP93" i="1" s="1"/>
  <c r="H59" i="1"/>
  <c r="AP92" i="1" s="1"/>
  <c r="H58" i="1"/>
  <c r="AP91" i="1" s="1"/>
  <c r="H57" i="1"/>
  <c r="AP90" i="1" s="1"/>
  <c r="H56" i="1"/>
  <c r="AP89" i="1" s="1"/>
  <c r="H55" i="1"/>
  <c r="AP88" i="1" s="1"/>
  <c r="H54" i="1"/>
  <c r="AP87" i="1" s="1"/>
  <c r="H53" i="1"/>
  <c r="AP86" i="1" s="1"/>
  <c r="H52" i="1"/>
  <c r="AP85" i="1" s="1"/>
  <c r="H51" i="1"/>
  <c r="AP84" i="1" s="1"/>
  <c r="H50" i="1"/>
  <c r="AP83" i="1" s="1"/>
  <c r="H49" i="1"/>
  <c r="AP82" i="1" s="1"/>
  <c r="H48" i="1"/>
  <c r="AP81" i="1" s="1"/>
  <c r="H47" i="1"/>
  <c r="AP80" i="1" s="1"/>
  <c r="H46" i="1"/>
  <c r="AP79" i="1" s="1"/>
  <c r="H45" i="1"/>
  <c r="AP78" i="1" s="1"/>
  <c r="H44" i="1"/>
  <c r="AP77" i="1" s="1"/>
  <c r="H43" i="1"/>
  <c r="AP76" i="1" s="1"/>
  <c r="G12" i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I42" i="1" l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C24" i="1"/>
  <c r="C26" i="1" s="1"/>
  <c r="C25" i="1"/>
  <c r="I75" i="1"/>
  <c r="J75" i="1" s="1"/>
  <c r="K75" i="1" s="1"/>
  <c r="L75" i="1" s="1"/>
  <c r="M75" i="1" s="1"/>
  <c r="N75" i="1" s="1"/>
  <c r="O75" i="1" s="1"/>
  <c r="P75" i="1" s="1"/>
  <c r="Q75" i="1" s="1"/>
  <c r="R75" i="1" s="1"/>
  <c r="S75" i="1" s="1"/>
  <c r="T75" i="1" s="1"/>
  <c r="U75" i="1" s="1"/>
  <c r="V75" i="1" s="1"/>
  <c r="W75" i="1" s="1"/>
  <c r="X75" i="1" s="1"/>
  <c r="Y75" i="1" s="1"/>
  <c r="Z75" i="1" s="1"/>
  <c r="AA75" i="1" s="1"/>
  <c r="AB75" i="1" s="1"/>
  <c r="AC75" i="1" s="1"/>
  <c r="AD75" i="1" s="1"/>
  <c r="AE75" i="1" s="1"/>
  <c r="AF75" i="1" s="1"/>
  <c r="AG75" i="1" s="1"/>
  <c r="AH75" i="1" s="1"/>
  <c r="C19" i="1"/>
  <c r="C20" i="1"/>
  <c r="C18" i="2"/>
  <c r="C17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AJ11" i="2"/>
  <c r="AJ13" i="2" s="1"/>
  <c r="F11" i="2"/>
  <c r="F19" i="2" s="1"/>
  <c r="H10" i="2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G10" i="2"/>
  <c r="C3" i="2"/>
  <c r="BX61" i="1" l="1"/>
  <c r="BX46" i="1"/>
  <c r="BX54" i="1"/>
  <c r="BX62" i="1"/>
  <c r="BX47" i="1"/>
  <c r="BX55" i="1"/>
  <c r="BX56" i="1"/>
  <c r="BX64" i="1"/>
  <c r="BX49" i="1"/>
  <c r="BX57" i="1"/>
  <c r="BX65" i="1"/>
  <c r="BX50" i="1"/>
  <c r="BX66" i="1"/>
  <c r="BX68" i="1"/>
  <c r="BX51" i="1"/>
  <c r="BX59" i="1"/>
  <c r="BX67" i="1"/>
  <c r="BX44" i="1"/>
  <c r="BX52" i="1"/>
  <c r="C21" i="1"/>
  <c r="BX53" i="1" s="1"/>
  <c r="C19" i="2"/>
  <c r="G19" i="2" s="1"/>
  <c r="CE102" i="1" l="1"/>
  <c r="CE101" i="1" s="1"/>
  <c r="CE100" i="1" s="1"/>
  <c r="CE99" i="1" s="1"/>
  <c r="CE98" i="1" s="1"/>
  <c r="CE97" i="1" s="1"/>
  <c r="CE96" i="1" s="1"/>
  <c r="CE95" i="1" s="1"/>
  <c r="CE94" i="1" s="1"/>
  <c r="CE93" i="1" s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DF69" i="1"/>
  <c r="DF44" i="1"/>
  <c r="DF45" i="1"/>
  <c r="DF46" i="1"/>
  <c r="DF47" i="1"/>
  <c r="DF55" i="1"/>
  <c r="DF64" i="1"/>
  <c r="DF56" i="1"/>
  <c r="DF65" i="1"/>
  <c r="DF57" i="1"/>
  <c r="DF66" i="1"/>
  <c r="DF58" i="1"/>
  <c r="DF67" i="1"/>
  <c r="DF51" i="1"/>
  <c r="DF59" i="1"/>
  <c r="DF68" i="1"/>
  <c r="DF52" i="1"/>
  <c r="DF61" i="1"/>
  <c r="DF60" i="1"/>
  <c r="DF53" i="1"/>
  <c r="DF62" i="1"/>
  <c r="DF54" i="1"/>
  <c r="DF63" i="1"/>
  <c r="DF48" i="1"/>
  <c r="DF49" i="1"/>
  <c r="DF50" i="1"/>
  <c r="BX48" i="1"/>
  <c r="BX60" i="1"/>
  <c r="BX58" i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CV58" i="1" s="1"/>
  <c r="CW58" i="1" s="1"/>
  <c r="BX63" i="1"/>
  <c r="BY63" i="1" s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CV63" i="1" s="1"/>
  <c r="CW63" i="1" s="1"/>
  <c r="BX45" i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CV45" i="1" s="1"/>
  <c r="CW45" i="1" s="1"/>
  <c r="CO102" i="1"/>
  <c r="CO101" i="1" s="1"/>
  <c r="CO100" i="1" s="1"/>
  <c r="CO99" i="1" s="1"/>
  <c r="CO98" i="1" s="1"/>
  <c r="CO97" i="1" s="1"/>
  <c r="CO96" i="1" s="1"/>
  <c r="CO95" i="1" s="1"/>
  <c r="CO94" i="1" s="1"/>
  <c r="CO93" i="1" s="1"/>
  <c r="CO92" i="1" s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C102" i="1"/>
  <c r="CC101" i="1" s="1"/>
  <c r="CC100" i="1" s="1"/>
  <c r="CC99" i="1" s="1"/>
  <c r="CC98" i="1" s="1"/>
  <c r="CC97" i="1" s="1"/>
  <c r="CC96" i="1" s="1"/>
  <c r="CC95" i="1" s="1"/>
  <c r="CC94" i="1" s="1"/>
  <c r="CC93" i="1" s="1"/>
  <c r="CC92" i="1" s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L102" i="1"/>
  <c r="CL101" i="1" s="1"/>
  <c r="CL100" i="1" s="1"/>
  <c r="CL99" i="1" s="1"/>
  <c r="CL98" i="1" s="1"/>
  <c r="CL97" i="1" s="1"/>
  <c r="CL96" i="1" s="1"/>
  <c r="CL95" i="1" s="1"/>
  <c r="CL94" i="1" s="1"/>
  <c r="CL93" i="1" s="1"/>
  <c r="CL92" i="1" s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X102" i="1"/>
  <c r="CX101" i="1" s="1"/>
  <c r="CX100" i="1" s="1"/>
  <c r="CX99" i="1" s="1"/>
  <c r="CX98" i="1" s="1"/>
  <c r="CX97" i="1" s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BY102" i="1"/>
  <c r="BY101" i="1" s="1"/>
  <c r="BY100" i="1" s="1"/>
  <c r="BY99" i="1" s="1"/>
  <c r="BY98" i="1" s="1"/>
  <c r="BY97" i="1" s="1"/>
  <c r="BY96" i="1" s="1"/>
  <c r="BY95" i="1" s="1"/>
  <c r="BY94" i="1" s="1"/>
  <c r="BY93" i="1" s="1"/>
  <c r="BY92" i="1" s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CJ102" i="1"/>
  <c r="CJ101" i="1" s="1"/>
  <c r="CJ100" i="1" s="1"/>
  <c r="CJ99" i="1" s="1"/>
  <c r="CJ98" i="1" s="1"/>
  <c r="CJ97" i="1" s="1"/>
  <c r="CJ96" i="1" s="1"/>
  <c r="CJ95" i="1" s="1"/>
  <c r="CJ94" i="1" s="1"/>
  <c r="CJ93" i="1" s="1"/>
  <c r="CJ92" i="1" s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S102" i="1"/>
  <c r="CS101" i="1" s="1"/>
  <c r="CS100" i="1" s="1"/>
  <c r="CS99" i="1" s="1"/>
  <c r="CS98" i="1" s="1"/>
  <c r="CS97" i="1" s="1"/>
  <c r="CS96" i="1" s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BY62" i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CV62" i="1" s="1"/>
  <c r="CW62" i="1" s="1"/>
  <c r="BY56" i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CV56" i="1" s="1"/>
  <c r="CW56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CV48" i="1" s="1"/>
  <c r="CW48" i="1" s="1"/>
  <c r="BY59" i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CV59" i="1" s="1"/>
  <c r="CW59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CV52" i="1" s="1"/>
  <c r="CW52" i="1" s="1"/>
  <c r="CN102" i="1"/>
  <c r="CN101" i="1" s="1"/>
  <c r="CN100" i="1" s="1"/>
  <c r="CN99" i="1" s="1"/>
  <c r="CN98" i="1" s="1"/>
  <c r="CN97" i="1" s="1"/>
  <c r="CN96" i="1" s="1"/>
  <c r="CN95" i="1" s="1"/>
  <c r="CN94" i="1" s="1"/>
  <c r="CN93" i="1" s="1"/>
  <c r="CN92" i="1" s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H102" i="1"/>
  <c r="CH101" i="1" s="1"/>
  <c r="CH100" i="1" s="1"/>
  <c r="CH99" i="1" s="1"/>
  <c r="CH98" i="1" s="1"/>
  <c r="CH97" i="1" s="1"/>
  <c r="CH96" i="1" s="1"/>
  <c r="CH95" i="1" s="1"/>
  <c r="CH94" i="1" s="1"/>
  <c r="CH93" i="1" s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A102" i="1"/>
  <c r="CA101" i="1" s="1"/>
  <c r="CA100" i="1" s="1"/>
  <c r="CA99" i="1" s="1"/>
  <c r="CA98" i="1" s="1"/>
  <c r="CA97" i="1" s="1"/>
  <c r="CA96" i="1" s="1"/>
  <c r="CA95" i="1" s="1"/>
  <c r="CA94" i="1" s="1"/>
  <c r="CA93" i="1" s="1"/>
  <c r="CA92" i="1" s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Q102" i="1"/>
  <c r="CQ101" i="1" s="1"/>
  <c r="CQ100" i="1" s="1"/>
  <c r="CQ99" i="1" s="1"/>
  <c r="CQ98" i="1" s="1"/>
  <c r="CQ97" i="1" s="1"/>
  <c r="CQ96" i="1" s="1"/>
  <c r="CQ95" i="1" s="1"/>
  <c r="CQ94" i="1" s="1"/>
  <c r="CQ93" i="1" s="1"/>
  <c r="CQ92" i="1" s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BY68" i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J68" i="1" s="1"/>
  <c r="CK68" i="1" s="1"/>
  <c r="CL68" i="1" s="1"/>
  <c r="CM68" i="1" s="1"/>
  <c r="CN68" i="1" s="1"/>
  <c r="CO68" i="1" s="1"/>
  <c r="CP68" i="1" s="1"/>
  <c r="CQ68" i="1" s="1"/>
  <c r="CR68" i="1" s="1"/>
  <c r="CS68" i="1" s="1"/>
  <c r="CT68" i="1" s="1"/>
  <c r="CU68" i="1" s="1"/>
  <c r="CV68" i="1" s="1"/>
  <c r="CW68" i="1" s="1"/>
  <c r="CW102" i="1"/>
  <c r="CW101" i="1" s="1"/>
  <c r="CW100" i="1" s="1"/>
  <c r="CW99" i="1" s="1"/>
  <c r="CW98" i="1" s="1"/>
  <c r="CW97" i="1" s="1"/>
  <c r="CW96" i="1" s="1"/>
  <c r="CW95" i="1" s="1"/>
  <c r="CW94" i="1" s="1"/>
  <c r="CW93" i="1" s="1"/>
  <c r="CW92" i="1" s="1"/>
  <c r="CW91" i="1" s="1"/>
  <c r="CW90" i="1" s="1"/>
  <c r="CW89" i="1" s="1"/>
  <c r="CW88" i="1" s="1"/>
  <c r="CW87" i="1" s="1"/>
  <c r="CW86" i="1" s="1"/>
  <c r="CW85" i="1" s="1"/>
  <c r="CW84" i="1" s="1"/>
  <c r="CW83" i="1" s="1"/>
  <c r="CW82" i="1" s="1"/>
  <c r="CW81" i="1" s="1"/>
  <c r="CW80" i="1" s="1"/>
  <c r="CW79" i="1" s="1"/>
  <c r="CW78" i="1" s="1"/>
  <c r="CW77" i="1" s="1"/>
  <c r="CK102" i="1"/>
  <c r="CK101" i="1" s="1"/>
  <c r="CK100" i="1" s="1"/>
  <c r="CK99" i="1" s="1"/>
  <c r="CK98" i="1" s="1"/>
  <c r="CK97" i="1" s="1"/>
  <c r="CK96" i="1" s="1"/>
  <c r="CK95" i="1" s="1"/>
  <c r="CK94" i="1" s="1"/>
  <c r="CK93" i="1" s="1"/>
  <c r="CK92" i="1" s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R102" i="1"/>
  <c r="CR101" i="1" s="1"/>
  <c r="CR100" i="1" s="1"/>
  <c r="CR99" i="1" s="1"/>
  <c r="CR98" i="1" s="1"/>
  <c r="CR97" i="1" s="1"/>
  <c r="CR96" i="1" s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B102" i="1"/>
  <c r="CB101" i="1" s="1"/>
  <c r="CB100" i="1" s="1"/>
  <c r="CB99" i="1" s="1"/>
  <c r="CB98" i="1" s="1"/>
  <c r="CB97" i="1" s="1"/>
  <c r="CB96" i="1" s="1"/>
  <c r="CB95" i="1" s="1"/>
  <c r="CB94" i="1" s="1"/>
  <c r="CB93" i="1" s="1"/>
  <c r="CB92" i="1" s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G102" i="1"/>
  <c r="CG101" i="1" s="1"/>
  <c r="CG100" i="1" s="1"/>
  <c r="CG99" i="1" s="1"/>
  <c r="CG98" i="1" s="1"/>
  <c r="CG97" i="1" s="1"/>
  <c r="CG96" i="1" s="1"/>
  <c r="CG95" i="1" s="1"/>
  <c r="CG94" i="1" s="1"/>
  <c r="CG93" i="1" s="1"/>
  <c r="CG92" i="1" s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D102" i="1"/>
  <c r="CD101" i="1" s="1"/>
  <c r="CD100" i="1" s="1"/>
  <c r="CD99" i="1" s="1"/>
  <c r="CD98" i="1" s="1"/>
  <c r="CD97" i="1" s="1"/>
  <c r="CD96" i="1" s="1"/>
  <c r="CD95" i="1" s="1"/>
  <c r="CD94" i="1" s="1"/>
  <c r="CD93" i="1" s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CV47" i="1" s="1"/>
  <c r="CW47" i="1" s="1"/>
  <c r="CM102" i="1"/>
  <c r="CM101" i="1" s="1"/>
  <c r="CM100" i="1" s="1"/>
  <c r="CM99" i="1" s="1"/>
  <c r="CM98" i="1" s="1"/>
  <c r="CM97" i="1" s="1"/>
  <c r="CM96" i="1" s="1"/>
  <c r="CM95" i="1" s="1"/>
  <c r="CM94" i="1" s="1"/>
  <c r="CM93" i="1" s="1"/>
  <c r="CM92" i="1" s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T102" i="1"/>
  <c r="CT101" i="1" s="1"/>
  <c r="CT100" i="1" s="1"/>
  <c r="CT99" i="1" s="1"/>
  <c r="CT98" i="1" s="1"/>
  <c r="CT97" i="1" s="1"/>
  <c r="CT96" i="1" s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BY54" i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CV54" i="1" s="1"/>
  <c r="CW54" i="1" s="1"/>
  <c r="CI102" i="1"/>
  <c r="CI101" i="1" s="1"/>
  <c r="CI100" i="1" s="1"/>
  <c r="CI99" i="1" s="1"/>
  <c r="CI98" i="1" s="1"/>
  <c r="CI97" i="1" s="1"/>
  <c r="CI96" i="1" s="1"/>
  <c r="CI95" i="1" s="1"/>
  <c r="CI94" i="1" s="1"/>
  <c r="CI93" i="1" s="1"/>
  <c r="CI92" i="1" s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F102" i="1"/>
  <c r="CF101" i="1" s="1"/>
  <c r="CF100" i="1" s="1"/>
  <c r="CF99" i="1" s="1"/>
  <c r="CF98" i="1" s="1"/>
  <c r="CF97" i="1" s="1"/>
  <c r="CF96" i="1" s="1"/>
  <c r="CF95" i="1" s="1"/>
  <c r="CF94" i="1" s="1"/>
  <c r="CF93" i="1" s="1"/>
  <c r="CF92" i="1" s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V102" i="1"/>
  <c r="CV101" i="1" s="1"/>
  <c r="CV100" i="1" s="1"/>
  <c r="CV99" i="1" s="1"/>
  <c r="CV98" i="1" s="1"/>
  <c r="CV97" i="1" s="1"/>
  <c r="CV96" i="1" s="1"/>
  <c r="CV95" i="1" s="1"/>
  <c r="CV94" i="1" s="1"/>
  <c r="CV93" i="1" s="1"/>
  <c r="CV92" i="1" s="1"/>
  <c r="CV91" i="1" s="1"/>
  <c r="CV90" i="1" s="1"/>
  <c r="CV89" i="1" s="1"/>
  <c r="CV88" i="1" s="1"/>
  <c r="CV87" i="1" s="1"/>
  <c r="CV86" i="1" s="1"/>
  <c r="CV85" i="1" s="1"/>
  <c r="CV84" i="1" s="1"/>
  <c r="CV83" i="1" s="1"/>
  <c r="CV82" i="1" s="1"/>
  <c r="CV81" i="1" s="1"/>
  <c r="CV80" i="1" s="1"/>
  <c r="CV79" i="1" s="1"/>
  <c r="CV78" i="1" s="1"/>
  <c r="CV77" i="1" s="1"/>
  <c r="CP102" i="1"/>
  <c r="CP101" i="1" s="1"/>
  <c r="CP100" i="1" s="1"/>
  <c r="CP99" i="1" s="1"/>
  <c r="CP98" i="1" s="1"/>
  <c r="CP97" i="1" s="1"/>
  <c r="CP96" i="1" s="1"/>
  <c r="CP95" i="1" s="1"/>
  <c r="CP94" i="1" s="1"/>
  <c r="CP93" i="1" s="1"/>
  <c r="CP92" i="1" s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BY57" i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CV57" i="1" s="1"/>
  <c r="CW57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CV46" i="1" s="1"/>
  <c r="CW46" i="1" s="1"/>
  <c r="CU102" i="1"/>
  <c r="CU101" i="1" s="1"/>
  <c r="CU100" i="1" s="1"/>
  <c r="CU99" i="1" s="1"/>
  <c r="CU98" i="1" s="1"/>
  <c r="CU97" i="1" s="1"/>
  <c r="CU96" i="1" s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BZ102" i="1"/>
  <c r="BZ101" i="1" s="1"/>
  <c r="BZ100" i="1" s="1"/>
  <c r="BZ99" i="1" s="1"/>
  <c r="BZ98" i="1" s="1"/>
  <c r="BZ97" i="1" s="1"/>
  <c r="BZ96" i="1" s="1"/>
  <c r="BZ95" i="1" s="1"/>
  <c r="BZ94" i="1" s="1"/>
  <c r="BZ93" i="1" s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Y44" i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CV44" i="1" s="1"/>
  <c r="CW44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CV49" i="1" s="1"/>
  <c r="CW49" i="1" s="1"/>
  <c r="BY65" i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J65" i="1" s="1"/>
  <c r="CK65" i="1" s="1"/>
  <c r="CL65" i="1" s="1"/>
  <c r="CM65" i="1" s="1"/>
  <c r="CN65" i="1" s="1"/>
  <c r="CO65" i="1" s="1"/>
  <c r="CP65" i="1" s="1"/>
  <c r="CQ65" i="1" s="1"/>
  <c r="CR65" i="1" s="1"/>
  <c r="CS65" i="1" s="1"/>
  <c r="CT65" i="1" s="1"/>
  <c r="CU65" i="1" s="1"/>
  <c r="CV65" i="1" s="1"/>
  <c r="CW65" i="1" s="1"/>
  <c r="BY64" i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J64" i="1" s="1"/>
  <c r="CK64" i="1" s="1"/>
  <c r="CL64" i="1" s="1"/>
  <c r="CM64" i="1" s="1"/>
  <c r="CN64" i="1" s="1"/>
  <c r="CO64" i="1" s="1"/>
  <c r="CP64" i="1" s="1"/>
  <c r="CQ64" i="1" s="1"/>
  <c r="CR64" i="1" s="1"/>
  <c r="CS64" i="1" s="1"/>
  <c r="CT64" i="1" s="1"/>
  <c r="CU64" i="1" s="1"/>
  <c r="CV64" i="1" s="1"/>
  <c r="CW64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CV50" i="1" s="1"/>
  <c r="CW50" i="1" s="1"/>
  <c r="BY67" i="1"/>
  <c r="BZ67" i="1" s="1"/>
  <c r="CA67" i="1" s="1"/>
  <c r="CB67" i="1" s="1"/>
  <c r="CC67" i="1" s="1"/>
  <c r="CD67" i="1" s="1"/>
  <c r="CE67" i="1" s="1"/>
  <c r="CF67" i="1" s="1"/>
  <c r="CG67" i="1" s="1"/>
  <c r="CH67" i="1" s="1"/>
  <c r="CI67" i="1" s="1"/>
  <c r="CJ67" i="1" s="1"/>
  <c r="CK67" i="1" s="1"/>
  <c r="CL67" i="1" s="1"/>
  <c r="CM67" i="1" s="1"/>
  <c r="CN67" i="1" s="1"/>
  <c r="CO67" i="1" s="1"/>
  <c r="CP67" i="1" s="1"/>
  <c r="CQ67" i="1" s="1"/>
  <c r="CR67" i="1" s="1"/>
  <c r="CS67" i="1" s="1"/>
  <c r="CT67" i="1" s="1"/>
  <c r="CU67" i="1" s="1"/>
  <c r="CV67" i="1" s="1"/>
  <c r="CW67" i="1" s="1"/>
  <c r="BY60" i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V60" i="1" s="1"/>
  <c r="CW60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CV51" i="1" s="1"/>
  <c r="CW51" i="1" s="1"/>
  <c r="BY55" i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CV55" i="1" s="1"/>
  <c r="CW55" i="1" s="1"/>
  <c r="BY61" i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CV61" i="1" s="1"/>
  <c r="CW61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CV53" i="1" s="1"/>
  <c r="CW53" i="1" s="1"/>
  <c r="BY66" i="1"/>
  <c r="BZ66" i="1" s="1"/>
  <c r="CA66" i="1" s="1"/>
  <c r="CB66" i="1" s="1"/>
  <c r="CC66" i="1" s="1"/>
  <c r="CD66" i="1" s="1"/>
  <c r="CE66" i="1" s="1"/>
  <c r="CF66" i="1" s="1"/>
  <c r="CG66" i="1" s="1"/>
  <c r="CH66" i="1" s="1"/>
  <c r="CI66" i="1" s="1"/>
  <c r="CJ66" i="1" s="1"/>
  <c r="CK66" i="1" s="1"/>
  <c r="CL66" i="1" s="1"/>
  <c r="CM66" i="1" s="1"/>
  <c r="CN66" i="1" s="1"/>
  <c r="CO66" i="1" s="1"/>
  <c r="CP66" i="1" s="1"/>
  <c r="CQ66" i="1" s="1"/>
  <c r="CR66" i="1" s="1"/>
  <c r="CS66" i="1" s="1"/>
  <c r="CT66" i="1" s="1"/>
  <c r="CU66" i="1" s="1"/>
  <c r="CV66" i="1" s="1"/>
  <c r="CW66" i="1" s="1"/>
  <c r="G17" i="2"/>
  <c r="H17" i="2" l="1"/>
  <c r="H19" i="2"/>
  <c r="I19" i="2" s="1"/>
  <c r="I17" i="2" l="1"/>
  <c r="J17" i="2" l="1"/>
  <c r="J19" i="2"/>
  <c r="K19" i="2" s="1"/>
  <c r="K17" i="2" l="1"/>
  <c r="L17" i="2" l="1"/>
  <c r="L19" i="2"/>
  <c r="M19" i="2" s="1"/>
  <c r="M17" i="2" l="1"/>
  <c r="N17" i="2" l="1"/>
  <c r="N19" i="2"/>
  <c r="O19" i="2" s="1"/>
  <c r="O17" i="2" l="1"/>
  <c r="P17" i="2" l="1"/>
  <c r="P19" i="2"/>
  <c r="Q19" i="2" l="1"/>
  <c r="R19" i="2" s="1"/>
  <c r="Q17" i="2"/>
  <c r="R17" i="2" l="1"/>
  <c r="S19" i="2" s="1"/>
  <c r="S17" i="2" l="1"/>
  <c r="T17" i="2" l="1"/>
  <c r="T19" i="2"/>
  <c r="U19" i="2" s="1"/>
  <c r="U17" i="2" l="1"/>
  <c r="V17" i="2" l="1"/>
  <c r="V19" i="2"/>
  <c r="W19" i="2" s="1"/>
  <c r="W17" i="2" l="1"/>
  <c r="X19" i="2" s="1"/>
  <c r="X17" i="2" l="1"/>
  <c r="Y19" i="2" s="1"/>
  <c r="Y17" i="2" l="1"/>
  <c r="Z19" i="2"/>
  <c r="Z17" i="2" l="1"/>
  <c r="AA17" i="2" l="1"/>
  <c r="AA19" i="2"/>
  <c r="AB19" i="2" s="1"/>
  <c r="AB17" i="2" l="1"/>
  <c r="AC17" i="2" l="1"/>
  <c r="AC19" i="2"/>
  <c r="AD19" i="2" s="1"/>
  <c r="AD17" i="2" l="1"/>
  <c r="AE17" i="2" l="1"/>
  <c r="AE19" i="2"/>
  <c r="AF19" i="2" s="1"/>
  <c r="AF17" i="2" l="1"/>
  <c r="AG17" i="2" l="1"/>
  <c r="AG19" i="2"/>
  <c r="AH19" i="2" s="1"/>
  <c r="AH17" i="2" l="1"/>
  <c r="AI17" i="2" l="1"/>
  <c r="AI19" i="2"/>
  <c r="AI13" i="2" l="1"/>
  <c r="AH13" i="2" s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DG66" i="1" l="1"/>
  <c r="DG58" i="1"/>
  <c r="DG59" i="1"/>
  <c r="DG49" i="1"/>
  <c r="DG67" i="1"/>
  <c r="DH67" i="1" s="1"/>
  <c r="DG54" i="1"/>
  <c r="DH54" i="1" s="1"/>
  <c r="DG55" i="1"/>
  <c r="DG45" i="1"/>
  <c r="DG68" i="1"/>
  <c r="DG53" i="1"/>
  <c r="DG47" i="1"/>
  <c r="DG61" i="1"/>
  <c r="DG48" i="1"/>
  <c r="DG46" i="1"/>
  <c r="DH46" i="1" s="1"/>
  <c r="DG64" i="1"/>
  <c r="DH64" i="1" s="1"/>
  <c r="DG60" i="1"/>
  <c r="DG57" i="1"/>
  <c r="DH57" i="1" s="1"/>
  <c r="DG63" i="1"/>
  <c r="DG65" i="1"/>
  <c r="DG50" i="1"/>
  <c r="DG56" i="1"/>
  <c r="DH56" i="1" s="1"/>
  <c r="DG52" i="1"/>
  <c r="DG62" i="1"/>
  <c r="DH62" i="1" s="1"/>
  <c r="DG44" i="1"/>
  <c r="DG51" i="1"/>
  <c r="DH51" i="1" s="1"/>
  <c r="BP76" i="1" l="1"/>
  <c r="DH65" i="1"/>
  <c r="DH48" i="1"/>
  <c r="DH61" i="1"/>
  <c r="DH68" i="1"/>
  <c r="DH60" i="1"/>
  <c r="DH44" i="1"/>
  <c r="DH52" i="1"/>
  <c r="DH45" i="1"/>
  <c r="DI45" i="1" s="1"/>
  <c r="DJ45" i="1" s="1"/>
  <c r="DH58" i="1"/>
  <c r="DH66" i="1"/>
  <c r="DI66" i="1" s="1"/>
  <c r="DH55" i="1"/>
  <c r="DH53" i="1"/>
  <c r="DI54" i="1"/>
  <c r="DI67" i="1"/>
  <c r="DI46" i="1"/>
  <c r="DI57" i="1"/>
  <c r="DI62" i="1"/>
  <c r="DI56" i="1"/>
  <c r="DH50" i="1"/>
  <c r="DH63" i="1"/>
  <c r="DH49" i="1"/>
  <c r="DH59" i="1"/>
  <c r="DI64" i="1"/>
  <c r="DI51" i="1"/>
  <c r="DH47" i="1"/>
  <c r="BO76" i="1" l="1"/>
  <c r="DI68" i="1"/>
  <c r="DI65" i="1"/>
  <c r="DJ65" i="1" s="1"/>
  <c r="DI60" i="1"/>
  <c r="DI48" i="1"/>
  <c r="DI44" i="1"/>
  <c r="DI52" i="1"/>
  <c r="DI55" i="1"/>
  <c r="DJ55" i="1" s="1"/>
  <c r="DI61" i="1"/>
  <c r="DI53" i="1"/>
  <c r="DI58" i="1"/>
  <c r="DI63" i="1"/>
  <c r="DJ66" i="1"/>
  <c r="DI50" i="1"/>
  <c r="DJ67" i="1"/>
  <c r="DK45" i="1"/>
  <c r="DJ56" i="1"/>
  <c r="DJ51" i="1"/>
  <c r="DI47" i="1"/>
  <c r="DJ64" i="1"/>
  <c r="DJ57" i="1"/>
  <c r="DI59" i="1"/>
  <c r="DJ62" i="1"/>
  <c r="DI49" i="1"/>
  <c r="DJ54" i="1"/>
  <c r="DJ46" i="1"/>
  <c r="BN76" i="1" l="1"/>
  <c r="DJ48" i="1"/>
  <c r="DJ68" i="1"/>
  <c r="DK68" i="1" s="1"/>
  <c r="DJ60" i="1"/>
  <c r="DK60" i="1" s="1"/>
  <c r="DJ52" i="1"/>
  <c r="DJ58" i="1"/>
  <c r="DJ44" i="1"/>
  <c r="DJ61" i="1"/>
  <c r="DJ53" i="1"/>
  <c r="DJ63" i="1"/>
  <c r="DJ47" i="1"/>
  <c r="DK54" i="1"/>
  <c r="DK55" i="1"/>
  <c r="DK56" i="1"/>
  <c r="DK62" i="1"/>
  <c r="DK66" i="1"/>
  <c r="DJ49" i="1"/>
  <c r="DK57" i="1"/>
  <c r="DK67" i="1"/>
  <c r="DK46" i="1"/>
  <c r="DJ59" i="1"/>
  <c r="DL45" i="1"/>
  <c r="DJ50" i="1"/>
  <c r="DK65" i="1"/>
  <c r="DK64" i="1"/>
  <c r="DK51" i="1"/>
  <c r="BM76" i="1" l="1"/>
  <c r="DK48" i="1"/>
  <c r="DK52" i="1"/>
  <c r="DL52" i="1" s="1"/>
  <c r="DK58" i="1"/>
  <c r="DK53" i="1"/>
  <c r="DL53" i="1" s="1"/>
  <c r="DK44" i="1"/>
  <c r="DK61" i="1"/>
  <c r="DL66" i="1"/>
  <c r="DL51" i="1"/>
  <c r="DL60" i="1"/>
  <c r="DL55" i="1"/>
  <c r="DL62" i="1"/>
  <c r="DL64" i="1"/>
  <c r="DL57" i="1"/>
  <c r="DM45" i="1"/>
  <c r="DL46" i="1"/>
  <c r="DK47" i="1"/>
  <c r="DK59" i="1"/>
  <c r="DL54" i="1"/>
  <c r="DL65" i="1"/>
  <c r="DK49" i="1"/>
  <c r="DL56" i="1"/>
  <c r="DL67" i="1"/>
  <c r="DL68" i="1"/>
  <c r="DK63" i="1"/>
  <c r="DK50" i="1"/>
  <c r="BL76" i="1" l="1"/>
  <c r="DL58" i="1"/>
  <c r="DL48" i="1"/>
  <c r="DL44" i="1"/>
  <c r="DL61" i="1"/>
  <c r="DL59" i="1"/>
  <c r="DM46" i="1"/>
  <c r="DM68" i="1"/>
  <c r="DM64" i="1"/>
  <c r="DL49" i="1"/>
  <c r="DM60" i="1"/>
  <c r="DM56" i="1"/>
  <c r="DM52" i="1"/>
  <c r="DM53" i="1"/>
  <c r="DL63" i="1"/>
  <c r="DM65" i="1"/>
  <c r="DN45" i="1"/>
  <c r="DM51" i="1"/>
  <c r="DM67" i="1"/>
  <c r="DL47" i="1"/>
  <c r="DM62" i="1"/>
  <c r="DL50" i="1"/>
  <c r="DM54" i="1"/>
  <c r="DM57" i="1"/>
  <c r="DM55" i="1"/>
  <c r="DM66" i="1"/>
  <c r="BK76" i="1" l="1"/>
  <c r="DM58" i="1"/>
  <c r="DM48" i="1"/>
  <c r="DN48" i="1" s="1"/>
  <c r="DM44" i="1"/>
  <c r="DM61" i="1"/>
  <c r="DN65" i="1"/>
  <c r="DN56" i="1"/>
  <c r="DM63" i="1"/>
  <c r="DN57" i="1"/>
  <c r="DN62" i="1"/>
  <c r="DN68" i="1"/>
  <c r="DM50" i="1"/>
  <c r="DN67" i="1"/>
  <c r="DM47" i="1"/>
  <c r="DN53" i="1"/>
  <c r="DN46" i="1"/>
  <c r="DN60" i="1"/>
  <c r="DN54" i="1"/>
  <c r="DN51" i="1"/>
  <c r="DM49" i="1"/>
  <c r="DN66" i="1"/>
  <c r="DO45" i="1"/>
  <c r="DN52" i="1"/>
  <c r="DN64" i="1"/>
  <c r="DM59" i="1"/>
  <c r="DN55" i="1"/>
  <c r="BJ76" i="1" l="1"/>
  <c r="DN58" i="1"/>
  <c r="DO58" i="1" s="1"/>
  <c r="DN44" i="1"/>
  <c r="DN61" i="1"/>
  <c r="DO52" i="1"/>
  <c r="DO48" i="1"/>
  <c r="DO67" i="1"/>
  <c r="DO57" i="1"/>
  <c r="DN49" i="1"/>
  <c r="DP45" i="1"/>
  <c r="DO56" i="1"/>
  <c r="DO62" i="1"/>
  <c r="DO51" i="1"/>
  <c r="DN47" i="1"/>
  <c r="DN63" i="1"/>
  <c r="DO46" i="1"/>
  <c r="DO53" i="1"/>
  <c r="DN59" i="1"/>
  <c r="DO54" i="1"/>
  <c r="DN50" i="1"/>
  <c r="DO65" i="1"/>
  <c r="DO55" i="1"/>
  <c r="DO64" i="1"/>
  <c r="DO66" i="1"/>
  <c r="DO60" i="1"/>
  <c r="DO68" i="1"/>
  <c r="BI76" i="1" l="1"/>
  <c r="DO44" i="1"/>
  <c r="DO61" i="1"/>
  <c r="DP68" i="1"/>
  <c r="DP57" i="1"/>
  <c r="DP58" i="1"/>
  <c r="DP67" i="1"/>
  <c r="DP53" i="1"/>
  <c r="DP56" i="1"/>
  <c r="DP66" i="1"/>
  <c r="DP46" i="1"/>
  <c r="DQ45" i="1"/>
  <c r="DP48" i="1"/>
  <c r="DO47" i="1"/>
  <c r="DP51" i="1"/>
  <c r="DP64" i="1"/>
  <c r="DP54" i="1"/>
  <c r="DP65" i="1"/>
  <c r="DO50" i="1"/>
  <c r="DP55" i="1"/>
  <c r="DO59" i="1"/>
  <c r="DO63" i="1"/>
  <c r="DP62" i="1"/>
  <c r="DO49" i="1"/>
  <c r="DP52" i="1"/>
  <c r="DP60" i="1"/>
  <c r="BH76" i="1" l="1"/>
  <c r="DP44" i="1"/>
  <c r="DP61" i="1"/>
  <c r="DQ64" i="1"/>
  <c r="DQ51" i="1"/>
  <c r="DQ48" i="1"/>
  <c r="DP50" i="1"/>
  <c r="DR45" i="1"/>
  <c r="DQ58" i="1"/>
  <c r="DQ60" i="1"/>
  <c r="DP59" i="1"/>
  <c r="DQ53" i="1"/>
  <c r="DQ62" i="1"/>
  <c r="DQ56" i="1"/>
  <c r="DP63" i="1"/>
  <c r="DQ52" i="1"/>
  <c r="DQ65" i="1"/>
  <c r="DQ57" i="1"/>
  <c r="DQ46" i="1"/>
  <c r="DP49" i="1"/>
  <c r="DQ54" i="1"/>
  <c r="DP47" i="1"/>
  <c r="DQ66" i="1"/>
  <c r="DQ67" i="1"/>
  <c r="DQ68" i="1"/>
  <c r="DQ55" i="1"/>
  <c r="BG76" i="1" l="1"/>
  <c r="DQ44" i="1"/>
  <c r="DQ61" i="1"/>
  <c r="DS45" i="1"/>
  <c r="DR57" i="1"/>
  <c r="DR68" i="1"/>
  <c r="DQ50" i="1"/>
  <c r="DQ63" i="1"/>
  <c r="DR51" i="1"/>
  <c r="DQ59" i="1"/>
  <c r="DR56" i="1"/>
  <c r="DQ49" i="1"/>
  <c r="DR62" i="1"/>
  <c r="DR48" i="1"/>
  <c r="DQ47" i="1"/>
  <c r="DR54" i="1"/>
  <c r="DR60" i="1"/>
  <c r="DR67" i="1"/>
  <c r="DR65" i="1"/>
  <c r="DR64" i="1"/>
  <c r="DR55" i="1"/>
  <c r="DR46" i="1"/>
  <c r="DR53" i="1"/>
  <c r="DR66" i="1"/>
  <c r="DR52" i="1"/>
  <c r="DR58" i="1"/>
  <c r="BF76" i="1" l="1"/>
  <c r="DR44" i="1"/>
  <c r="DR61" i="1"/>
  <c r="DR49" i="1"/>
  <c r="DS46" i="1"/>
  <c r="DR63" i="1"/>
  <c r="DS57" i="1"/>
  <c r="DS65" i="1"/>
  <c r="DS53" i="1"/>
  <c r="DS56" i="1"/>
  <c r="DS55" i="1"/>
  <c r="DS48" i="1"/>
  <c r="DR59" i="1"/>
  <c r="DT45" i="1"/>
  <c r="DS66" i="1"/>
  <c r="DR47" i="1"/>
  <c r="DS67" i="1"/>
  <c r="DR50" i="1"/>
  <c r="DS54" i="1"/>
  <c r="DS64" i="1"/>
  <c r="DS51" i="1"/>
  <c r="DS68" i="1"/>
  <c r="DS52" i="1"/>
  <c r="DS58" i="1"/>
  <c r="DS60" i="1"/>
  <c r="DS62" i="1"/>
  <c r="BE76" i="1" l="1"/>
  <c r="DS44" i="1"/>
  <c r="DS61" i="1"/>
  <c r="DT53" i="1"/>
  <c r="DS47" i="1"/>
  <c r="DT68" i="1"/>
  <c r="DT65" i="1"/>
  <c r="DT46" i="1"/>
  <c r="DS50" i="1"/>
  <c r="DT54" i="1"/>
  <c r="DT66" i="1"/>
  <c r="DT67" i="1"/>
  <c r="DT55" i="1"/>
  <c r="DS49" i="1"/>
  <c r="DS59" i="1"/>
  <c r="DT48" i="1"/>
  <c r="DT51" i="1"/>
  <c r="DT57" i="1"/>
  <c r="DT58" i="1"/>
  <c r="DT60" i="1"/>
  <c r="DT64" i="1"/>
  <c r="DU45" i="1"/>
  <c r="DT56" i="1"/>
  <c r="DS63" i="1"/>
  <c r="DT62" i="1"/>
  <c r="DT52" i="1"/>
  <c r="BD76" i="1" l="1"/>
  <c r="DT44" i="1"/>
  <c r="DT61" i="1"/>
  <c r="DU62" i="1"/>
  <c r="DU54" i="1"/>
  <c r="DU55" i="1"/>
  <c r="DU52" i="1"/>
  <c r="DV45" i="1"/>
  <c r="DU67" i="1"/>
  <c r="DU60" i="1"/>
  <c r="DU48" i="1"/>
  <c r="DU58" i="1"/>
  <c r="DU68" i="1"/>
  <c r="DU51" i="1"/>
  <c r="DT59" i="1"/>
  <c r="DU56" i="1"/>
  <c r="DU65" i="1"/>
  <c r="DU57" i="1"/>
  <c r="DT50" i="1"/>
  <c r="DT47" i="1"/>
  <c r="DU66" i="1"/>
  <c r="DT63" i="1"/>
  <c r="DT49" i="1"/>
  <c r="DU46" i="1"/>
  <c r="DU53" i="1"/>
  <c r="DU64" i="1"/>
  <c r="BC76" i="1" l="1"/>
  <c r="DU44" i="1"/>
  <c r="DU61" i="1"/>
  <c r="DU50" i="1"/>
  <c r="DV46" i="1"/>
  <c r="DV68" i="1"/>
  <c r="DV55" i="1"/>
  <c r="DV48" i="1"/>
  <c r="DV57" i="1"/>
  <c r="DV60" i="1"/>
  <c r="DV65" i="1"/>
  <c r="DU59" i="1"/>
  <c r="DV58" i="1"/>
  <c r="DV54" i="1"/>
  <c r="DV52" i="1"/>
  <c r="DU63" i="1"/>
  <c r="DV67" i="1"/>
  <c r="DV53" i="1"/>
  <c r="DV56" i="1"/>
  <c r="DU49" i="1"/>
  <c r="DU47" i="1"/>
  <c r="DW45" i="1"/>
  <c r="DV62" i="1"/>
  <c r="DV51" i="1"/>
  <c r="DV66" i="1"/>
  <c r="DV64" i="1"/>
  <c r="BB76" i="1" l="1"/>
  <c r="DV44" i="1"/>
  <c r="DV61" i="1"/>
  <c r="DW65" i="1"/>
  <c r="DW55" i="1"/>
  <c r="DW54" i="1"/>
  <c r="DW60" i="1"/>
  <c r="DW62" i="1"/>
  <c r="DX45" i="1"/>
  <c r="DW58" i="1"/>
  <c r="DW68" i="1"/>
  <c r="DW67" i="1"/>
  <c r="DW64" i="1"/>
  <c r="DV59" i="1"/>
  <c r="DV49" i="1"/>
  <c r="DW56" i="1"/>
  <c r="DW53" i="1"/>
  <c r="DV63" i="1"/>
  <c r="DW57" i="1"/>
  <c r="DW66" i="1"/>
  <c r="DW46" i="1"/>
  <c r="DV47" i="1"/>
  <c r="DW52" i="1"/>
  <c r="DW48" i="1"/>
  <c r="DV50" i="1"/>
  <c r="DW51" i="1"/>
  <c r="BA76" i="1" l="1"/>
  <c r="DW44" i="1"/>
  <c r="DW61" i="1"/>
  <c r="DX66" i="1"/>
  <c r="DX56" i="1"/>
  <c r="DX52" i="1"/>
  <c r="DX67" i="1"/>
  <c r="DX55" i="1"/>
  <c r="DY45" i="1"/>
  <c r="DW49" i="1"/>
  <c r="DX62" i="1"/>
  <c r="DX54" i="1"/>
  <c r="DW50" i="1"/>
  <c r="DW59" i="1"/>
  <c r="DX60" i="1"/>
  <c r="DX51" i="1"/>
  <c r="DX64" i="1"/>
  <c r="DX57" i="1"/>
  <c r="DW63" i="1"/>
  <c r="DX68" i="1"/>
  <c r="DX65" i="1"/>
  <c r="DW47" i="1"/>
  <c r="DX48" i="1"/>
  <c r="DX46" i="1"/>
  <c r="DX53" i="1"/>
  <c r="DX58" i="1"/>
  <c r="AZ76" i="1" l="1"/>
  <c r="DX44" i="1"/>
  <c r="DX61" i="1"/>
  <c r="DY65" i="1"/>
  <c r="DY64" i="1"/>
  <c r="DY54" i="1"/>
  <c r="DY68" i="1"/>
  <c r="DX50" i="1"/>
  <c r="DY51" i="1"/>
  <c r="DY60" i="1"/>
  <c r="DY62" i="1"/>
  <c r="DY52" i="1"/>
  <c r="DY46" i="1"/>
  <c r="DZ45" i="1"/>
  <c r="DX63" i="1"/>
  <c r="DY48" i="1"/>
  <c r="DY55" i="1"/>
  <c r="DY56" i="1"/>
  <c r="DY57" i="1"/>
  <c r="DX49" i="1"/>
  <c r="DY67" i="1"/>
  <c r="DY66" i="1"/>
  <c r="DY53" i="1"/>
  <c r="DX47" i="1"/>
  <c r="DY58" i="1"/>
  <c r="DX59" i="1"/>
  <c r="AY76" i="1" l="1"/>
  <c r="DY44" i="1"/>
  <c r="DY61" i="1"/>
  <c r="DZ68" i="1"/>
  <c r="DZ58" i="1"/>
  <c r="DZ56" i="1"/>
  <c r="DZ60" i="1"/>
  <c r="DZ64" i="1"/>
  <c r="DY59" i="1"/>
  <c r="EA45" i="1"/>
  <c r="DZ67" i="1"/>
  <c r="DZ55" i="1"/>
  <c r="DZ54" i="1"/>
  <c r="DY47" i="1"/>
  <c r="DZ66" i="1"/>
  <c r="DZ46" i="1"/>
  <c r="DY49" i="1"/>
  <c r="DZ48" i="1"/>
  <c r="DZ51" i="1"/>
  <c r="DZ52" i="1"/>
  <c r="DZ65" i="1"/>
  <c r="DZ57" i="1"/>
  <c r="DY63" i="1"/>
  <c r="DY50" i="1"/>
  <c r="DZ53" i="1"/>
  <c r="DZ62" i="1"/>
  <c r="AX76" i="1" l="1"/>
  <c r="DZ44" i="1"/>
  <c r="DZ61" i="1"/>
  <c r="DZ63" i="1"/>
  <c r="EA60" i="1"/>
  <c r="EA46" i="1"/>
  <c r="EA53" i="1"/>
  <c r="EA54" i="1"/>
  <c r="EA51" i="1"/>
  <c r="EA57" i="1"/>
  <c r="EA55" i="1"/>
  <c r="EA56" i="1"/>
  <c r="EA67" i="1"/>
  <c r="EA66" i="1"/>
  <c r="DZ59" i="1"/>
  <c r="EA58" i="1"/>
  <c r="EA52" i="1"/>
  <c r="EB45" i="1"/>
  <c r="EA48" i="1"/>
  <c r="EA65" i="1"/>
  <c r="DZ50" i="1"/>
  <c r="DZ47" i="1"/>
  <c r="EA64" i="1"/>
  <c r="EA68" i="1"/>
  <c r="EA62" i="1"/>
  <c r="DZ49" i="1"/>
  <c r="AW76" i="1" l="1"/>
  <c r="EA44" i="1"/>
  <c r="EA61" i="1"/>
  <c r="EB66" i="1"/>
  <c r="EB53" i="1"/>
  <c r="EB52" i="1"/>
  <c r="EB67" i="1"/>
  <c r="EB57" i="1"/>
  <c r="EB46" i="1"/>
  <c r="EA47" i="1"/>
  <c r="EA50" i="1"/>
  <c r="EB58" i="1"/>
  <c r="EB56" i="1"/>
  <c r="EB60" i="1"/>
  <c r="EB62" i="1"/>
  <c r="EB68" i="1"/>
  <c r="EB48" i="1"/>
  <c r="EB51" i="1"/>
  <c r="EA49" i="1"/>
  <c r="EC45" i="1"/>
  <c r="EB54" i="1"/>
  <c r="EA63" i="1"/>
  <c r="EB64" i="1"/>
  <c r="EA59" i="1"/>
  <c r="EB65" i="1"/>
  <c r="EB55" i="1"/>
  <c r="AV76" i="1" l="1"/>
  <c r="EB44" i="1"/>
  <c r="EB61" i="1"/>
  <c r="EB50" i="1"/>
  <c r="ED45" i="1"/>
  <c r="EC65" i="1"/>
  <c r="EC48" i="1"/>
  <c r="EC53" i="1"/>
  <c r="EC60" i="1"/>
  <c r="EC67" i="1"/>
  <c r="EC56" i="1"/>
  <c r="EC52" i="1"/>
  <c r="EC66" i="1"/>
  <c r="EC57" i="1"/>
  <c r="EB59" i="1"/>
  <c r="EB47" i="1"/>
  <c r="EC64" i="1"/>
  <c r="EC68" i="1"/>
  <c r="EC51" i="1"/>
  <c r="EB63" i="1"/>
  <c r="EC46" i="1"/>
  <c r="EC54" i="1"/>
  <c r="EB49" i="1"/>
  <c r="EC58" i="1"/>
  <c r="EC55" i="1"/>
  <c r="EC62" i="1"/>
  <c r="AU76" i="1" l="1"/>
  <c r="EC44" i="1"/>
  <c r="EC61" i="1"/>
  <c r="ED60" i="1"/>
  <c r="ED55" i="1"/>
  <c r="ED65" i="1"/>
  <c r="ED51" i="1"/>
  <c r="ED62" i="1"/>
  <c r="EC47" i="1"/>
  <c r="ED58" i="1"/>
  <c r="ED56" i="1"/>
  <c r="EE45" i="1"/>
  <c r="ED64" i="1"/>
  <c r="ED52" i="1"/>
  <c r="ED46" i="1"/>
  <c r="EC59" i="1"/>
  <c r="ED53" i="1"/>
  <c r="ED54" i="1"/>
  <c r="EC49" i="1"/>
  <c r="ED68" i="1"/>
  <c r="ED48" i="1"/>
  <c r="ED66" i="1"/>
  <c r="EC63" i="1"/>
  <c r="ED57" i="1"/>
  <c r="ED67" i="1"/>
  <c r="EC50" i="1"/>
  <c r="AT76" i="1" l="1"/>
  <c r="ED44" i="1"/>
  <c r="ED61" i="1"/>
  <c r="EE52" i="1"/>
  <c r="EE54" i="1"/>
  <c r="EE65" i="1"/>
  <c r="EE57" i="1"/>
  <c r="EE55" i="1"/>
  <c r="EE48" i="1"/>
  <c r="EE67" i="1"/>
  <c r="EE66" i="1"/>
  <c r="ED47" i="1"/>
  <c r="EE68" i="1"/>
  <c r="EE64" i="1"/>
  <c r="EE58" i="1"/>
  <c r="EE60" i="1"/>
  <c r="EE56" i="1"/>
  <c r="EE53" i="1"/>
  <c r="ED63" i="1"/>
  <c r="ED59" i="1"/>
  <c r="EE62" i="1"/>
  <c r="EE51" i="1"/>
  <c r="ED50" i="1"/>
  <c r="ED49" i="1"/>
  <c r="EE46" i="1"/>
  <c r="AS76" i="1" l="1"/>
  <c r="EE44" i="1"/>
  <c r="EE61" i="1"/>
  <c r="EE49" i="1"/>
  <c r="EE63" i="1"/>
  <c r="EE47" i="1"/>
  <c r="EE50" i="1"/>
  <c r="EE59" i="1"/>
  <c r="AQ76" i="1" l="1"/>
  <c r="AR76" i="1"/>
  <c r="AG45" i="1" l="1"/>
  <c r="BP78" i="1"/>
  <c r="AF45" i="1" l="1"/>
  <c r="BO78" i="1"/>
  <c r="AG46" i="1"/>
  <c r="BP79" i="1"/>
  <c r="AG68" i="1"/>
  <c r="BP101" i="1"/>
  <c r="AG54" i="1"/>
  <c r="BP87" i="1"/>
  <c r="AG66" i="1"/>
  <c r="BP99" i="1"/>
  <c r="AG48" i="1"/>
  <c r="BP81" i="1"/>
  <c r="AG58" i="1"/>
  <c r="BP91" i="1"/>
  <c r="AG51" i="1"/>
  <c r="BP84" i="1"/>
  <c r="AG55" i="1"/>
  <c r="BP88" i="1"/>
  <c r="AG52" i="1"/>
  <c r="BP85" i="1"/>
  <c r="AG53" i="1"/>
  <c r="BP86" i="1"/>
  <c r="AG67" i="1"/>
  <c r="BP100" i="1"/>
  <c r="AG60" i="1"/>
  <c r="BP93" i="1"/>
  <c r="AG65" i="1"/>
  <c r="BP98" i="1"/>
  <c r="AG62" i="1"/>
  <c r="BP95" i="1"/>
  <c r="BP102" i="1"/>
  <c r="AG56" i="1"/>
  <c r="BP89" i="1"/>
  <c r="AG57" i="1"/>
  <c r="BP90" i="1"/>
  <c r="AG64" i="1"/>
  <c r="BP97" i="1"/>
  <c r="AF62" i="1" l="1"/>
  <c r="BO95" i="1"/>
  <c r="AG61" i="1"/>
  <c r="BP94" i="1"/>
  <c r="AF60" i="1"/>
  <c r="BO93" i="1"/>
  <c r="AF52" i="1"/>
  <c r="BO85" i="1"/>
  <c r="AF51" i="1"/>
  <c r="BO84" i="1"/>
  <c r="AF68" i="1"/>
  <c r="BO101" i="1"/>
  <c r="AG50" i="1"/>
  <c r="BP83" i="1"/>
  <c r="AF57" i="1"/>
  <c r="BO90" i="1"/>
  <c r="AF67" i="1"/>
  <c r="BO100" i="1"/>
  <c r="AF58" i="1"/>
  <c r="BO91" i="1"/>
  <c r="AF66" i="1"/>
  <c r="BO99" i="1"/>
  <c r="AF46" i="1"/>
  <c r="BO79" i="1"/>
  <c r="AF64" i="1"/>
  <c r="BO97" i="1"/>
  <c r="AF55" i="1"/>
  <c r="BO88" i="1"/>
  <c r="AG47" i="1"/>
  <c r="BP80" i="1"/>
  <c r="AF56" i="1"/>
  <c r="BO89" i="1"/>
  <c r="AF65" i="1"/>
  <c r="BO98" i="1"/>
  <c r="AG59" i="1"/>
  <c r="BP92" i="1"/>
  <c r="AE45" i="1"/>
  <c r="BN78" i="1"/>
  <c r="AF53" i="1"/>
  <c r="BO86" i="1"/>
  <c r="BO102" i="1"/>
  <c r="AG44" i="1"/>
  <c r="BP77" i="1"/>
  <c r="AG63" i="1"/>
  <c r="BP96" i="1"/>
  <c r="AF48" i="1"/>
  <c r="BO81" i="1"/>
  <c r="AF54" i="1"/>
  <c r="BO87" i="1"/>
  <c r="AG49" i="1"/>
  <c r="BP82" i="1"/>
  <c r="BN102" i="1" l="1"/>
  <c r="AF47" i="1"/>
  <c r="BO80" i="1"/>
  <c r="AE52" i="1"/>
  <c r="BN85" i="1"/>
  <c r="AE57" i="1"/>
  <c r="BN90" i="1"/>
  <c r="EE102" i="1"/>
  <c r="EE101" i="1" s="1"/>
  <c r="EE100" i="1" s="1"/>
  <c r="EE99" i="1" s="1"/>
  <c r="EE98" i="1" s="1"/>
  <c r="EE97" i="1" s="1"/>
  <c r="AE66" i="1"/>
  <c r="BN99" i="1"/>
  <c r="AE46" i="1"/>
  <c r="BN79" i="1"/>
  <c r="AE48" i="1"/>
  <c r="BN81" i="1"/>
  <c r="AE53" i="1"/>
  <c r="BN86" i="1"/>
  <c r="AE55" i="1"/>
  <c r="BN88" i="1"/>
  <c r="AF50" i="1"/>
  <c r="BO83" i="1"/>
  <c r="AE60" i="1"/>
  <c r="BN93" i="1"/>
  <c r="AE58" i="1"/>
  <c r="BN91" i="1"/>
  <c r="AF49" i="1"/>
  <c r="BO82" i="1"/>
  <c r="AF63" i="1"/>
  <c r="BO96" i="1"/>
  <c r="AD45" i="1"/>
  <c r="BM78" i="1"/>
  <c r="AE65" i="1"/>
  <c r="BN98" i="1"/>
  <c r="AE68" i="1"/>
  <c r="BN101" i="1"/>
  <c r="AF61" i="1"/>
  <c r="BO94" i="1"/>
  <c r="AE64" i="1"/>
  <c r="BN97" i="1"/>
  <c r="AE67" i="1"/>
  <c r="BN100" i="1"/>
  <c r="AE54" i="1"/>
  <c r="BN87" i="1"/>
  <c r="AF44" i="1"/>
  <c r="BO77" i="1"/>
  <c r="AF59" i="1"/>
  <c r="BO92" i="1"/>
  <c r="AE56" i="1"/>
  <c r="BN89" i="1"/>
  <c r="AE51" i="1"/>
  <c r="BN84" i="1"/>
  <c r="AE62" i="1"/>
  <c r="BN95" i="1"/>
  <c r="EE96" i="1" l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ED102" i="1"/>
  <c r="ED101" i="1" s="1"/>
  <c r="ED100" i="1" s="1"/>
  <c r="ED99" i="1" s="1"/>
  <c r="ED98" i="1" s="1"/>
  <c r="ED97" i="1" s="1"/>
  <c r="AD55" i="1"/>
  <c r="BM88" i="1"/>
  <c r="AD58" i="1"/>
  <c r="BM91" i="1"/>
  <c r="AE47" i="1"/>
  <c r="BN80" i="1"/>
  <c r="AD66" i="1"/>
  <c r="BM99" i="1"/>
  <c r="AD64" i="1"/>
  <c r="BM97" i="1"/>
  <c r="AD60" i="1"/>
  <c r="BM93" i="1"/>
  <c r="AD53" i="1"/>
  <c r="BM86" i="1"/>
  <c r="AD46" i="1"/>
  <c r="BM79" i="1"/>
  <c r="AD56" i="1"/>
  <c r="BM89" i="1"/>
  <c r="AD62" i="1"/>
  <c r="BM95" i="1"/>
  <c r="AE44" i="1"/>
  <c r="BN77" i="1"/>
  <c r="AE61" i="1"/>
  <c r="BN94" i="1"/>
  <c r="AE63" i="1"/>
  <c r="BN96" i="1"/>
  <c r="AD57" i="1"/>
  <c r="BM90" i="1"/>
  <c r="BM102" i="1"/>
  <c r="AD65" i="1"/>
  <c r="BM98" i="1"/>
  <c r="AE50" i="1"/>
  <c r="BN83" i="1"/>
  <c r="AD48" i="1"/>
  <c r="BM81" i="1"/>
  <c r="AD67" i="1"/>
  <c r="BM100" i="1"/>
  <c r="AE59" i="1"/>
  <c r="BN92" i="1"/>
  <c r="AC45" i="1"/>
  <c r="BL78" i="1"/>
  <c r="AD51" i="1"/>
  <c r="BM84" i="1"/>
  <c r="AD54" i="1"/>
  <c r="BM87" i="1"/>
  <c r="AD68" i="1"/>
  <c r="BM101" i="1"/>
  <c r="AE49" i="1"/>
  <c r="BN82" i="1"/>
  <c r="AD52" i="1"/>
  <c r="BM85" i="1"/>
  <c r="ED96" i="1" l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AC68" i="1"/>
  <c r="BL101" i="1"/>
  <c r="AC46" i="1"/>
  <c r="BL79" i="1"/>
  <c r="AC54" i="1"/>
  <c r="BL87" i="1"/>
  <c r="AC67" i="1"/>
  <c r="BL100" i="1"/>
  <c r="BL102" i="1"/>
  <c r="AD44" i="1"/>
  <c r="BM77" i="1"/>
  <c r="AC53" i="1"/>
  <c r="BL86" i="1"/>
  <c r="AD47" i="1"/>
  <c r="BM80" i="1"/>
  <c r="AD59" i="1"/>
  <c r="BM92" i="1"/>
  <c r="AC65" i="1"/>
  <c r="BL98" i="1"/>
  <c r="AC52" i="1"/>
  <c r="BL85" i="1"/>
  <c r="AC51" i="1"/>
  <c r="BL84" i="1"/>
  <c r="AC48" i="1"/>
  <c r="BL81" i="1"/>
  <c r="AC57" i="1"/>
  <c r="BL90" i="1"/>
  <c r="AC62" i="1"/>
  <c r="BL95" i="1"/>
  <c r="AC60" i="1"/>
  <c r="BL93" i="1"/>
  <c r="AC66" i="1"/>
  <c r="BL99" i="1"/>
  <c r="EC102" i="1"/>
  <c r="EC101" i="1" s="1"/>
  <c r="EC100" i="1" s="1"/>
  <c r="EC99" i="1" s="1"/>
  <c r="EC98" i="1" s="1"/>
  <c r="EC97" i="1" s="1"/>
  <c r="AC58" i="1"/>
  <c r="BL91" i="1"/>
  <c r="AD61" i="1"/>
  <c r="BM94" i="1"/>
  <c r="AD49" i="1"/>
  <c r="BM82" i="1"/>
  <c r="AB45" i="1"/>
  <c r="BK78" i="1"/>
  <c r="AD50" i="1"/>
  <c r="BM83" i="1"/>
  <c r="AD63" i="1"/>
  <c r="BM96" i="1"/>
  <c r="AC56" i="1"/>
  <c r="BL89" i="1"/>
  <c r="AC64" i="1"/>
  <c r="BL97" i="1"/>
  <c r="AC55" i="1"/>
  <c r="BL88" i="1"/>
  <c r="EC96" i="1" l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AB52" i="1"/>
  <c r="BK85" i="1"/>
  <c r="AB64" i="1"/>
  <c r="BK97" i="1"/>
  <c r="AA45" i="1"/>
  <c r="BJ78" i="1"/>
  <c r="AB53" i="1"/>
  <c r="BK86" i="1"/>
  <c r="AB54" i="1"/>
  <c r="BK87" i="1"/>
  <c r="AB57" i="1"/>
  <c r="BK90" i="1"/>
  <c r="AB65" i="1"/>
  <c r="BK98" i="1"/>
  <c r="AB56" i="1"/>
  <c r="BK89" i="1"/>
  <c r="AC49" i="1"/>
  <c r="BL82" i="1"/>
  <c r="AC44" i="1"/>
  <c r="BL77" i="1"/>
  <c r="AB66" i="1"/>
  <c r="BK99" i="1"/>
  <c r="AB48" i="1"/>
  <c r="BK81" i="1"/>
  <c r="AC59" i="1"/>
  <c r="BL92" i="1"/>
  <c r="AF77" i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BK102" i="1"/>
  <c r="AB46" i="1"/>
  <c r="BK79" i="1"/>
  <c r="AB55" i="1"/>
  <c r="BK88" i="1"/>
  <c r="AC61" i="1"/>
  <c r="BL94" i="1"/>
  <c r="EB102" i="1"/>
  <c r="EB101" i="1" s="1"/>
  <c r="EB100" i="1" s="1"/>
  <c r="EB99" i="1" s="1"/>
  <c r="EB98" i="1" s="1"/>
  <c r="EB97" i="1" s="1"/>
  <c r="AB60" i="1"/>
  <c r="BK93" i="1"/>
  <c r="AB51" i="1"/>
  <c r="BK84" i="1"/>
  <c r="AB62" i="1"/>
  <c r="BK95" i="1"/>
  <c r="AC63" i="1"/>
  <c r="BL96" i="1"/>
  <c r="AC50" i="1"/>
  <c r="BL83" i="1"/>
  <c r="AB58" i="1"/>
  <c r="BK91" i="1"/>
  <c r="AC47" i="1"/>
  <c r="BL80" i="1"/>
  <c r="AB67" i="1"/>
  <c r="BK100" i="1"/>
  <c r="AB68" i="1"/>
  <c r="BK101" i="1"/>
  <c r="AE77" i="1" l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EA102" i="1"/>
  <c r="EA101" i="1" s="1"/>
  <c r="EA100" i="1" s="1"/>
  <c r="EA99" i="1" s="1"/>
  <c r="EA98" i="1" s="1"/>
  <c r="EA97" i="1" s="1"/>
  <c r="EB96" i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A55" i="1"/>
  <c r="BJ88" i="1"/>
  <c r="AA65" i="1"/>
  <c r="BJ98" i="1"/>
  <c r="AA53" i="1"/>
  <c r="BJ86" i="1"/>
  <c r="AB59" i="1"/>
  <c r="BK92" i="1"/>
  <c r="AB44" i="1"/>
  <c r="BK77" i="1"/>
  <c r="AA57" i="1"/>
  <c r="BJ90" i="1"/>
  <c r="Z45" i="1"/>
  <c r="BI78" i="1"/>
  <c r="AB50" i="1"/>
  <c r="BK83" i="1"/>
  <c r="AA67" i="1"/>
  <c r="BJ100" i="1"/>
  <c r="AA60" i="1"/>
  <c r="BJ93" i="1"/>
  <c r="AA46" i="1"/>
  <c r="BJ79" i="1"/>
  <c r="AA48" i="1"/>
  <c r="BJ81" i="1"/>
  <c r="AB49" i="1"/>
  <c r="BK82" i="1"/>
  <c r="AA64" i="1"/>
  <c r="BJ97" i="1"/>
  <c r="AA58" i="1"/>
  <c r="BJ91" i="1"/>
  <c r="AA51" i="1"/>
  <c r="BJ84" i="1"/>
  <c r="AB47" i="1"/>
  <c r="BK80" i="1"/>
  <c r="AB63" i="1"/>
  <c r="BK96" i="1"/>
  <c r="AA62" i="1"/>
  <c r="BJ95" i="1"/>
  <c r="AA68" i="1"/>
  <c r="BJ101" i="1"/>
  <c r="AB61" i="1"/>
  <c r="BK94" i="1"/>
  <c r="BJ102" i="1"/>
  <c r="AA66" i="1"/>
  <c r="BJ99" i="1"/>
  <c r="AA56" i="1"/>
  <c r="BJ89" i="1"/>
  <c r="AA54" i="1"/>
  <c r="BJ87" i="1"/>
  <c r="AA52" i="1"/>
  <c r="BJ85" i="1"/>
  <c r="Z68" i="1" l="1"/>
  <c r="BI101" i="1"/>
  <c r="DZ102" i="1"/>
  <c r="DZ101" i="1" s="1"/>
  <c r="DZ100" i="1" s="1"/>
  <c r="DZ99" i="1" s="1"/>
  <c r="DZ98" i="1" s="1"/>
  <c r="DZ97" i="1" s="1"/>
  <c r="Z53" i="1"/>
  <c r="BI86" i="1"/>
  <c r="Z56" i="1"/>
  <c r="BI89" i="1"/>
  <c r="Z60" i="1"/>
  <c r="BI93" i="1"/>
  <c r="Z66" i="1"/>
  <c r="BI99" i="1"/>
  <c r="Z62" i="1"/>
  <c r="BI95" i="1"/>
  <c r="Z58" i="1"/>
  <c r="BI91" i="1"/>
  <c r="Z48" i="1"/>
  <c r="BI81" i="1"/>
  <c r="Z57" i="1"/>
  <c r="BI90" i="1"/>
  <c r="Z65" i="1"/>
  <c r="BI98" i="1"/>
  <c r="Y45" i="1"/>
  <c r="BH78" i="1"/>
  <c r="Z52" i="1"/>
  <c r="BI85" i="1"/>
  <c r="BI102" i="1"/>
  <c r="AA63" i="1"/>
  <c r="BJ96" i="1"/>
  <c r="Z64" i="1"/>
  <c r="BI97" i="1"/>
  <c r="Z46" i="1"/>
  <c r="BI79" i="1"/>
  <c r="Z67" i="1"/>
  <c r="BI100" i="1"/>
  <c r="AA44" i="1"/>
  <c r="BJ77" i="1"/>
  <c r="AA49" i="1"/>
  <c r="BJ82" i="1"/>
  <c r="Z54" i="1"/>
  <c r="BI87" i="1"/>
  <c r="AA61" i="1"/>
  <c r="BJ94" i="1"/>
  <c r="AA47" i="1"/>
  <c r="BJ80" i="1"/>
  <c r="AA50" i="1"/>
  <c r="BJ83" i="1"/>
  <c r="AA59" i="1"/>
  <c r="BJ92" i="1"/>
  <c r="Z51" i="1"/>
  <c r="BI84" i="1"/>
  <c r="EA96" i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Z55" i="1"/>
  <c r="BI88" i="1"/>
  <c r="Y64" i="1" l="1"/>
  <c r="BH97" i="1"/>
  <c r="Z47" i="1"/>
  <c r="BI80" i="1"/>
  <c r="Y48" i="1"/>
  <c r="BH81" i="1"/>
  <c r="Z59" i="1"/>
  <c r="BI92" i="1"/>
  <c r="Z61" i="1"/>
  <c r="BI94" i="1"/>
  <c r="Z44" i="1"/>
  <c r="BI77" i="1"/>
  <c r="Z63" i="1"/>
  <c r="BI96" i="1"/>
  <c r="Y65" i="1"/>
  <c r="BH98" i="1"/>
  <c r="Y58" i="1"/>
  <c r="BH91" i="1"/>
  <c r="Y56" i="1"/>
  <c r="BH89" i="1"/>
  <c r="Y60" i="1"/>
  <c r="BH93" i="1"/>
  <c r="X45" i="1"/>
  <c r="BG78" i="1"/>
  <c r="Z50" i="1"/>
  <c r="BI83" i="1"/>
  <c r="Y54" i="1"/>
  <c r="BH87" i="1"/>
  <c r="Y67" i="1"/>
  <c r="BH100" i="1"/>
  <c r="BH102" i="1"/>
  <c r="Y57" i="1"/>
  <c r="BH90" i="1"/>
  <c r="Y62" i="1"/>
  <c r="BH95" i="1"/>
  <c r="Y53" i="1"/>
  <c r="BH86" i="1"/>
  <c r="DY102" i="1"/>
  <c r="DY101" i="1" s="1"/>
  <c r="DY100" i="1" s="1"/>
  <c r="DY99" i="1" s="1"/>
  <c r="DY98" i="1" s="1"/>
  <c r="DY97" i="1" s="1"/>
  <c r="DZ96" i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AC77" i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Z49" i="1"/>
  <c r="BI82" i="1"/>
  <c r="Y46" i="1"/>
  <c r="BH79" i="1"/>
  <c r="Y52" i="1"/>
  <c r="BH85" i="1"/>
  <c r="Y66" i="1"/>
  <c r="BH99" i="1"/>
  <c r="Y51" i="1"/>
  <c r="BH84" i="1"/>
  <c r="Y55" i="1"/>
  <c r="BH88" i="1"/>
  <c r="Y68" i="1"/>
  <c r="BH101" i="1"/>
  <c r="DY96" i="1" l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X66" i="1"/>
  <c r="BG99" i="1"/>
  <c r="Y49" i="1"/>
  <c r="BH82" i="1"/>
  <c r="X53" i="1"/>
  <c r="BG86" i="1"/>
  <c r="X67" i="1"/>
  <c r="BG100" i="1"/>
  <c r="X65" i="1"/>
  <c r="BG98" i="1"/>
  <c r="Y59" i="1"/>
  <c r="BH92" i="1"/>
  <c r="DX102" i="1"/>
  <c r="DX101" i="1" s="1"/>
  <c r="DX100" i="1" s="1"/>
  <c r="DX99" i="1" s="1"/>
  <c r="DX98" i="1" s="1"/>
  <c r="DX97" i="1" s="1"/>
  <c r="X68" i="1"/>
  <c r="BG101" i="1"/>
  <c r="X62" i="1"/>
  <c r="BG95" i="1"/>
  <c r="X54" i="1"/>
  <c r="BG87" i="1"/>
  <c r="X60" i="1"/>
  <c r="BG93" i="1"/>
  <c r="Y63" i="1"/>
  <c r="BH96" i="1"/>
  <c r="X48" i="1"/>
  <c r="BG81" i="1"/>
  <c r="X55" i="1"/>
  <c r="BG88" i="1"/>
  <c r="X52" i="1"/>
  <c r="BG85" i="1"/>
  <c r="X57" i="1"/>
  <c r="BG90" i="1"/>
  <c r="Y50" i="1"/>
  <c r="BH83" i="1"/>
  <c r="X56" i="1"/>
  <c r="BG89" i="1"/>
  <c r="Y44" i="1"/>
  <c r="BH77" i="1"/>
  <c r="Y47" i="1"/>
  <c r="BH80" i="1"/>
  <c r="AB77" i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X51" i="1"/>
  <c r="BG84" i="1"/>
  <c r="X46" i="1"/>
  <c r="BG79" i="1"/>
  <c r="BG102" i="1"/>
  <c r="W45" i="1"/>
  <c r="BF78" i="1"/>
  <c r="X58" i="1"/>
  <c r="BG91" i="1"/>
  <c r="Y61" i="1"/>
  <c r="BH94" i="1"/>
  <c r="X64" i="1"/>
  <c r="BG97" i="1"/>
  <c r="DX96" i="1" l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W67" i="1"/>
  <c r="BF100" i="1"/>
  <c r="W56" i="1"/>
  <c r="BF89" i="1"/>
  <c r="W54" i="1"/>
  <c r="BF87" i="1"/>
  <c r="V45" i="1"/>
  <c r="BE78" i="1"/>
  <c r="X50" i="1"/>
  <c r="BG83" i="1"/>
  <c r="W48" i="1"/>
  <c r="BF81" i="1"/>
  <c r="W62" i="1"/>
  <c r="BF95" i="1"/>
  <c r="W64" i="1"/>
  <c r="BF97" i="1"/>
  <c r="BF102" i="1"/>
  <c r="X59" i="1"/>
  <c r="BG92" i="1"/>
  <c r="W53" i="1"/>
  <c r="BF86" i="1"/>
  <c r="AA77" i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X47" i="1"/>
  <c r="BG80" i="1"/>
  <c r="W57" i="1"/>
  <c r="BF90" i="1"/>
  <c r="X63" i="1"/>
  <c r="BG96" i="1"/>
  <c r="DW102" i="1"/>
  <c r="DW101" i="1" s="1"/>
  <c r="DW100" i="1" s="1"/>
  <c r="DW99" i="1" s="1"/>
  <c r="DW98" i="1" s="1"/>
  <c r="DW97" i="1" s="1"/>
  <c r="W65" i="1"/>
  <c r="BF98" i="1"/>
  <c r="X49" i="1"/>
  <c r="BG82" i="1"/>
  <c r="W51" i="1"/>
  <c r="BF84" i="1"/>
  <c r="W68" i="1"/>
  <c r="BF101" i="1"/>
  <c r="X61" i="1"/>
  <c r="BG94" i="1"/>
  <c r="W46" i="1"/>
  <c r="BF79" i="1"/>
  <c r="X44" i="1"/>
  <c r="BG77" i="1"/>
  <c r="W52" i="1"/>
  <c r="BF85" i="1"/>
  <c r="W60" i="1"/>
  <c r="BF93" i="1"/>
  <c r="W55" i="1"/>
  <c r="BF88" i="1"/>
  <c r="W58" i="1"/>
  <c r="BF91" i="1"/>
  <c r="W66" i="1"/>
  <c r="BF99" i="1"/>
  <c r="Z77" i="1" l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DV102" i="1"/>
  <c r="DV101" i="1" s="1"/>
  <c r="DV100" i="1" s="1"/>
  <c r="DV99" i="1" s="1"/>
  <c r="DV98" i="1" s="1"/>
  <c r="DV97" i="1" s="1"/>
  <c r="W63" i="1"/>
  <c r="BF96" i="1"/>
  <c r="V53" i="1"/>
  <c r="BE86" i="1"/>
  <c r="V62" i="1"/>
  <c r="BE95" i="1"/>
  <c r="V54" i="1"/>
  <c r="BE87" i="1"/>
  <c r="W44" i="1"/>
  <c r="BF77" i="1"/>
  <c r="V66" i="1"/>
  <c r="BE99" i="1"/>
  <c r="V46" i="1"/>
  <c r="BE79" i="1"/>
  <c r="W49" i="1"/>
  <c r="BF82" i="1"/>
  <c r="V51" i="1"/>
  <c r="BE84" i="1"/>
  <c r="V57" i="1"/>
  <c r="BE90" i="1"/>
  <c r="W59" i="1"/>
  <c r="BF92" i="1"/>
  <c r="V48" i="1"/>
  <c r="BE81" i="1"/>
  <c r="V56" i="1"/>
  <c r="BE89" i="1"/>
  <c r="V60" i="1"/>
  <c r="BE93" i="1"/>
  <c r="W61" i="1"/>
  <c r="BF94" i="1"/>
  <c r="V65" i="1"/>
  <c r="BE98" i="1"/>
  <c r="V55" i="1"/>
  <c r="BE88" i="1"/>
  <c r="DW96" i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W47" i="1"/>
  <c r="BF80" i="1"/>
  <c r="BE102" i="1"/>
  <c r="W50" i="1"/>
  <c r="BF83" i="1"/>
  <c r="V67" i="1"/>
  <c r="BE100" i="1"/>
  <c r="V58" i="1"/>
  <c r="BE91" i="1"/>
  <c r="V52" i="1"/>
  <c r="BE85" i="1"/>
  <c r="V68" i="1"/>
  <c r="BE101" i="1"/>
  <c r="V64" i="1"/>
  <c r="BE97" i="1"/>
  <c r="U45" i="1"/>
  <c r="BD78" i="1"/>
  <c r="DV96" i="1" l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U102" i="1"/>
  <c r="DU101" i="1" s="1"/>
  <c r="DU100" i="1" s="1"/>
  <c r="DU99" i="1" s="1"/>
  <c r="DU98" i="1" s="1"/>
  <c r="DU97" i="1" s="1"/>
  <c r="U54" i="1"/>
  <c r="BD87" i="1"/>
  <c r="U62" i="1"/>
  <c r="BD95" i="1"/>
  <c r="U68" i="1"/>
  <c r="BD101" i="1"/>
  <c r="V50" i="1"/>
  <c r="BE83" i="1"/>
  <c r="V59" i="1"/>
  <c r="BE92" i="1"/>
  <c r="U65" i="1"/>
  <c r="BD98" i="1"/>
  <c r="U56" i="1"/>
  <c r="BD89" i="1"/>
  <c r="U51" i="1"/>
  <c r="BD84" i="1"/>
  <c r="U66" i="1"/>
  <c r="BD99" i="1"/>
  <c r="U53" i="1"/>
  <c r="BD86" i="1"/>
  <c r="Y77" i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U67" i="1"/>
  <c r="BD100" i="1"/>
  <c r="U55" i="1"/>
  <c r="BD88" i="1"/>
  <c r="T45" i="1"/>
  <c r="BC78" i="1"/>
  <c r="U52" i="1"/>
  <c r="BD85" i="1"/>
  <c r="BD102" i="1"/>
  <c r="U46" i="1"/>
  <c r="BD79" i="1"/>
  <c r="U57" i="1"/>
  <c r="BD90" i="1"/>
  <c r="V61" i="1"/>
  <c r="BE94" i="1"/>
  <c r="U48" i="1"/>
  <c r="BD81" i="1"/>
  <c r="V49" i="1"/>
  <c r="BE82" i="1"/>
  <c r="V44" i="1"/>
  <c r="BE77" i="1"/>
  <c r="V63" i="1"/>
  <c r="BE96" i="1"/>
  <c r="U60" i="1"/>
  <c r="BD93" i="1"/>
  <c r="U64" i="1"/>
  <c r="BD97" i="1"/>
  <c r="U58" i="1"/>
  <c r="BD91" i="1"/>
  <c r="V47" i="1"/>
  <c r="BE80" i="1"/>
  <c r="X77" i="1" l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DT102" i="1"/>
  <c r="DT101" i="1" s="1"/>
  <c r="DT100" i="1" s="1"/>
  <c r="DT99" i="1" s="1"/>
  <c r="DT98" i="1" s="1"/>
  <c r="DT97" i="1" s="1"/>
  <c r="U63" i="1"/>
  <c r="BD96" i="1"/>
  <c r="T56" i="1"/>
  <c r="BC89" i="1"/>
  <c r="U59" i="1"/>
  <c r="BD92" i="1"/>
  <c r="T48" i="1"/>
  <c r="BC81" i="1"/>
  <c r="T67" i="1"/>
  <c r="BC100" i="1"/>
  <c r="U47" i="1"/>
  <c r="BD80" i="1"/>
  <c r="T52" i="1"/>
  <c r="BC85" i="1"/>
  <c r="T60" i="1"/>
  <c r="BC93" i="1"/>
  <c r="U61" i="1"/>
  <c r="BD94" i="1"/>
  <c r="T58" i="1"/>
  <c r="BC91" i="1"/>
  <c r="U44" i="1"/>
  <c r="BD77" i="1"/>
  <c r="T57" i="1"/>
  <c r="BC90" i="1"/>
  <c r="S45" i="1"/>
  <c r="BB78" i="1"/>
  <c r="T53" i="1"/>
  <c r="BC86" i="1"/>
  <c r="T65" i="1"/>
  <c r="BC98" i="1"/>
  <c r="U50" i="1"/>
  <c r="BD83" i="1"/>
  <c r="T54" i="1"/>
  <c r="BC87" i="1"/>
  <c r="BC102" i="1"/>
  <c r="DU96" i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T62" i="1"/>
  <c r="BC95" i="1"/>
  <c r="T64" i="1"/>
  <c r="BC97" i="1"/>
  <c r="T46" i="1"/>
  <c r="BC79" i="1"/>
  <c r="T51" i="1"/>
  <c r="BC84" i="1"/>
  <c r="U49" i="1"/>
  <c r="BD82" i="1"/>
  <c r="T55" i="1"/>
  <c r="BC88" i="1"/>
  <c r="T66" i="1"/>
  <c r="BC99" i="1"/>
  <c r="T68" i="1"/>
  <c r="BC101" i="1"/>
  <c r="DT96" i="1" l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BB102" i="1"/>
  <c r="S55" i="1"/>
  <c r="BB88" i="1"/>
  <c r="S46" i="1"/>
  <c r="BB79" i="1"/>
  <c r="S54" i="1"/>
  <c r="BB87" i="1"/>
  <c r="R45" i="1"/>
  <c r="BA78" i="1"/>
  <c r="T61" i="1"/>
  <c r="BC94" i="1"/>
  <c r="T47" i="1"/>
  <c r="BC80" i="1"/>
  <c r="T59" i="1"/>
  <c r="BC92" i="1"/>
  <c r="S52" i="1"/>
  <c r="BB85" i="1"/>
  <c r="T49" i="1"/>
  <c r="BC82" i="1"/>
  <c r="S64" i="1"/>
  <c r="BB97" i="1"/>
  <c r="T50" i="1"/>
  <c r="BC83" i="1"/>
  <c r="S57" i="1"/>
  <c r="BB90" i="1"/>
  <c r="S67" i="1"/>
  <c r="BB100" i="1"/>
  <c r="S56" i="1"/>
  <c r="BB89" i="1"/>
  <c r="S58" i="1"/>
  <c r="BB91" i="1"/>
  <c r="S68" i="1"/>
  <c r="BB101" i="1"/>
  <c r="S51" i="1"/>
  <c r="BB84" i="1"/>
  <c r="S62" i="1"/>
  <c r="BB95" i="1"/>
  <c r="W77" i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S65" i="1"/>
  <c r="BB98" i="1"/>
  <c r="T44" i="1"/>
  <c r="BC77" i="1"/>
  <c r="S60" i="1"/>
  <c r="BB93" i="1"/>
  <c r="S48" i="1"/>
  <c r="BB81" i="1"/>
  <c r="T63" i="1"/>
  <c r="BC96" i="1"/>
  <c r="S53" i="1"/>
  <c r="BB86" i="1"/>
  <c r="S66" i="1"/>
  <c r="BB99" i="1"/>
  <c r="DS102" i="1"/>
  <c r="DS101" i="1" s="1"/>
  <c r="DS100" i="1" s="1"/>
  <c r="DS99" i="1" s="1"/>
  <c r="DS98" i="1" s="1"/>
  <c r="DS97" i="1" s="1"/>
  <c r="DS96" i="1" l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V77" i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S63" i="1"/>
  <c r="BB96" i="1"/>
  <c r="R65" i="1"/>
  <c r="BA98" i="1"/>
  <c r="R68" i="1"/>
  <c r="BA101" i="1"/>
  <c r="R64" i="1"/>
  <c r="BA97" i="1"/>
  <c r="S47" i="1"/>
  <c r="BB80" i="1"/>
  <c r="R46" i="1"/>
  <c r="BA79" i="1"/>
  <c r="R48" i="1"/>
  <c r="BA81" i="1"/>
  <c r="R58" i="1"/>
  <c r="BA91" i="1"/>
  <c r="R57" i="1"/>
  <c r="BA90" i="1"/>
  <c r="S49" i="1"/>
  <c r="BB82" i="1"/>
  <c r="S61" i="1"/>
  <c r="BB94" i="1"/>
  <c r="R55" i="1"/>
  <c r="BA88" i="1"/>
  <c r="R66" i="1"/>
  <c r="BA99" i="1"/>
  <c r="R60" i="1"/>
  <c r="BA93" i="1"/>
  <c r="R62" i="1"/>
  <c r="BA95" i="1"/>
  <c r="R56" i="1"/>
  <c r="BA89" i="1"/>
  <c r="S50" i="1"/>
  <c r="BB83" i="1"/>
  <c r="R52" i="1"/>
  <c r="BA85" i="1"/>
  <c r="Q45" i="1"/>
  <c r="AZ78" i="1"/>
  <c r="BA102" i="1"/>
  <c r="DR102" i="1"/>
  <c r="DR101" i="1" s="1"/>
  <c r="DR100" i="1" s="1"/>
  <c r="DR99" i="1" s="1"/>
  <c r="DR98" i="1" s="1"/>
  <c r="DR97" i="1" s="1"/>
  <c r="R53" i="1"/>
  <c r="BA86" i="1"/>
  <c r="S44" i="1"/>
  <c r="BB77" i="1"/>
  <c r="R51" i="1"/>
  <c r="BA84" i="1"/>
  <c r="R67" i="1"/>
  <c r="BA100" i="1"/>
  <c r="S59" i="1"/>
  <c r="BB92" i="1"/>
  <c r="R54" i="1"/>
  <c r="BA87" i="1"/>
  <c r="DR96" i="1" l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U77" i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R50" i="1"/>
  <c r="BA83" i="1"/>
  <c r="Q66" i="1"/>
  <c r="AZ99" i="1"/>
  <c r="Q57" i="1"/>
  <c r="AZ90" i="1"/>
  <c r="Q46" i="1"/>
  <c r="AZ79" i="1"/>
  <c r="Q68" i="1"/>
  <c r="AZ101" i="1"/>
  <c r="Q67" i="1"/>
  <c r="AZ100" i="1"/>
  <c r="Q53" i="1"/>
  <c r="AZ86" i="1"/>
  <c r="AZ102" i="1"/>
  <c r="Q56" i="1"/>
  <c r="AZ89" i="1"/>
  <c r="Q55" i="1"/>
  <c r="AZ88" i="1"/>
  <c r="Q58" i="1"/>
  <c r="AZ91" i="1"/>
  <c r="R47" i="1"/>
  <c r="BA80" i="1"/>
  <c r="Q65" i="1"/>
  <c r="AZ98" i="1"/>
  <c r="Q54" i="1"/>
  <c r="AZ87" i="1"/>
  <c r="Q51" i="1"/>
  <c r="AZ84" i="1"/>
  <c r="P45" i="1"/>
  <c r="AY78" i="1"/>
  <c r="Q62" i="1"/>
  <c r="AZ95" i="1"/>
  <c r="R61" i="1"/>
  <c r="BA94" i="1"/>
  <c r="Q48" i="1"/>
  <c r="AZ81" i="1"/>
  <c r="Q64" i="1"/>
  <c r="AZ97" i="1"/>
  <c r="R63" i="1"/>
  <c r="BA96" i="1"/>
  <c r="R59" i="1"/>
  <c r="BA92" i="1"/>
  <c r="R44" i="1"/>
  <c r="BA77" i="1"/>
  <c r="DQ102" i="1"/>
  <c r="DQ101" i="1" s="1"/>
  <c r="DQ100" i="1" s="1"/>
  <c r="DQ99" i="1" s="1"/>
  <c r="DQ98" i="1" s="1"/>
  <c r="DQ97" i="1" s="1"/>
  <c r="Q52" i="1"/>
  <c r="AZ85" i="1"/>
  <c r="Q60" i="1"/>
  <c r="AZ93" i="1"/>
  <c r="R49" i="1"/>
  <c r="BA82" i="1"/>
  <c r="DQ96" i="1" l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Q59" i="1"/>
  <c r="AZ92" i="1"/>
  <c r="Q61" i="1"/>
  <c r="AZ94" i="1"/>
  <c r="P51" i="1"/>
  <c r="AY84" i="1"/>
  <c r="P58" i="1"/>
  <c r="AY91" i="1"/>
  <c r="P53" i="1"/>
  <c r="AY86" i="1"/>
  <c r="P57" i="1"/>
  <c r="AY90" i="1"/>
  <c r="P60" i="1"/>
  <c r="AY93" i="1"/>
  <c r="Q63" i="1"/>
  <c r="AZ96" i="1"/>
  <c r="P62" i="1"/>
  <c r="AY95" i="1"/>
  <c r="P54" i="1"/>
  <c r="AY87" i="1"/>
  <c r="P55" i="1"/>
  <c r="AY88" i="1"/>
  <c r="P67" i="1"/>
  <c r="AY100" i="1"/>
  <c r="P66" i="1"/>
  <c r="AY99" i="1"/>
  <c r="Q49" i="1"/>
  <c r="AZ82" i="1"/>
  <c r="P52" i="1"/>
  <c r="AY85" i="1"/>
  <c r="P64" i="1"/>
  <c r="AY97" i="1"/>
  <c r="O45" i="1"/>
  <c r="AX78" i="1"/>
  <c r="P65" i="1"/>
  <c r="AY98" i="1"/>
  <c r="P56" i="1"/>
  <c r="AY89" i="1"/>
  <c r="P68" i="1"/>
  <c r="AY101" i="1"/>
  <c r="Q50" i="1"/>
  <c r="AZ83" i="1"/>
  <c r="DP102" i="1"/>
  <c r="DP101" i="1" s="1"/>
  <c r="DP100" i="1" s="1"/>
  <c r="DP99" i="1" s="1"/>
  <c r="DP98" i="1" s="1"/>
  <c r="DP97" i="1" s="1"/>
  <c r="Q44" i="1"/>
  <c r="AZ77" i="1"/>
  <c r="P48" i="1"/>
  <c r="AY81" i="1"/>
  <c r="Q47" i="1"/>
  <c r="AZ80" i="1"/>
  <c r="AY102" i="1"/>
  <c r="P46" i="1"/>
  <c r="AY79" i="1"/>
  <c r="DO102" i="1" l="1"/>
  <c r="DO101" i="1" s="1"/>
  <c r="DO100" i="1" s="1"/>
  <c r="DO99" i="1" s="1"/>
  <c r="DO98" i="1" s="1"/>
  <c r="DO97" i="1" s="1"/>
  <c r="DP96" i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O56" i="1"/>
  <c r="AX89" i="1"/>
  <c r="P47" i="1"/>
  <c r="AY80" i="1"/>
  <c r="O52" i="1"/>
  <c r="AX85" i="1"/>
  <c r="O67" i="1"/>
  <c r="AX100" i="1"/>
  <c r="P63" i="1"/>
  <c r="AY96" i="1"/>
  <c r="O58" i="1"/>
  <c r="AX91" i="1"/>
  <c r="O65" i="1"/>
  <c r="AX98" i="1"/>
  <c r="O55" i="1"/>
  <c r="AX88" i="1"/>
  <c r="O60" i="1"/>
  <c r="AX93" i="1"/>
  <c r="O51" i="1"/>
  <c r="AX84" i="1"/>
  <c r="AX102" i="1"/>
  <c r="P50" i="1"/>
  <c r="AY83" i="1"/>
  <c r="N45" i="1"/>
  <c r="AW78" i="1"/>
  <c r="O46" i="1"/>
  <c r="AX79" i="1"/>
  <c r="O48" i="1"/>
  <c r="AX81" i="1"/>
  <c r="P49" i="1"/>
  <c r="AY82" i="1"/>
  <c r="O54" i="1"/>
  <c r="AX87" i="1"/>
  <c r="O57" i="1"/>
  <c r="AX90" i="1"/>
  <c r="P61" i="1"/>
  <c r="AY94" i="1"/>
  <c r="P44" i="1"/>
  <c r="AY77" i="1"/>
  <c r="O68" i="1"/>
  <c r="AX101" i="1"/>
  <c r="O64" i="1"/>
  <c r="AX97" i="1"/>
  <c r="S77" i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O66" i="1"/>
  <c r="AX99" i="1"/>
  <c r="O62" i="1"/>
  <c r="AX95" i="1"/>
  <c r="O53" i="1"/>
  <c r="AX86" i="1"/>
  <c r="P59" i="1"/>
  <c r="AY92" i="1"/>
  <c r="DO96" i="1" l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O44" i="1"/>
  <c r="AX77" i="1"/>
  <c r="N67" i="1"/>
  <c r="AW100" i="1"/>
  <c r="O61" i="1"/>
  <c r="AX94" i="1"/>
  <c r="N48" i="1"/>
  <c r="AW81" i="1"/>
  <c r="O50" i="1"/>
  <c r="AX83" i="1"/>
  <c r="N55" i="1"/>
  <c r="AW88" i="1"/>
  <c r="N60" i="1"/>
  <c r="AW93" i="1"/>
  <c r="N52" i="1"/>
  <c r="AW85" i="1"/>
  <c r="O49" i="1"/>
  <c r="AX82" i="1"/>
  <c r="O59" i="1"/>
  <c r="AX92" i="1"/>
  <c r="N53" i="1"/>
  <c r="AW86" i="1"/>
  <c r="N64" i="1"/>
  <c r="AW97" i="1"/>
  <c r="N57" i="1"/>
  <c r="AW90" i="1"/>
  <c r="N46" i="1"/>
  <c r="AW79" i="1"/>
  <c r="AW102" i="1"/>
  <c r="N66" i="1"/>
  <c r="AW99" i="1"/>
  <c r="N65" i="1"/>
  <c r="AW98" i="1"/>
  <c r="DN102" i="1"/>
  <c r="DN101" i="1" s="1"/>
  <c r="DN100" i="1" s="1"/>
  <c r="DN99" i="1" s="1"/>
  <c r="DN98" i="1" s="1"/>
  <c r="DN97" i="1" s="1"/>
  <c r="N58" i="1"/>
  <c r="AW91" i="1"/>
  <c r="O47" i="1"/>
  <c r="AX80" i="1"/>
  <c r="N51" i="1"/>
  <c r="AW84" i="1"/>
  <c r="M45" i="1"/>
  <c r="AV78" i="1"/>
  <c r="N62" i="1"/>
  <c r="AW95" i="1"/>
  <c r="N68" i="1"/>
  <c r="AW101" i="1"/>
  <c r="N54" i="1"/>
  <c r="AW87" i="1"/>
  <c r="O63" i="1"/>
  <c r="AX96" i="1"/>
  <c r="N56" i="1"/>
  <c r="AW89" i="1"/>
  <c r="DM102" i="1" l="1"/>
  <c r="DM101" i="1" s="1"/>
  <c r="DM100" i="1" s="1"/>
  <c r="DM99" i="1" s="1"/>
  <c r="DM98" i="1" s="1"/>
  <c r="DM97" i="1" s="1"/>
  <c r="DN96" i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M60" i="1"/>
  <c r="AV93" i="1"/>
  <c r="M48" i="1"/>
  <c r="AV81" i="1"/>
  <c r="M65" i="1"/>
  <c r="AV98" i="1"/>
  <c r="M46" i="1"/>
  <c r="AV79" i="1"/>
  <c r="N59" i="1"/>
  <c r="AW92" i="1"/>
  <c r="M58" i="1"/>
  <c r="AV91" i="1"/>
  <c r="AV102" i="1"/>
  <c r="M51" i="1"/>
  <c r="AV84" i="1"/>
  <c r="N61" i="1"/>
  <c r="AW94" i="1"/>
  <c r="M54" i="1"/>
  <c r="AV87" i="1"/>
  <c r="M66" i="1"/>
  <c r="AV99" i="1"/>
  <c r="M57" i="1"/>
  <c r="AV90" i="1"/>
  <c r="N49" i="1"/>
  <c r="AW82" i="1"/>
  <c r="L45" i="1"/>
  <c r="AU78" i="1"/>
  <c r="M56" i="1"/>
  <c r="AV89" i="1"/>
  <c r="M62" i="1"/>
  <c r="AV95" i="1"/>
  <c r="N47" i="1"/>
  <c r="AW80" i="1"/>
  <c r="M55" i="1"/>
  <c r="AV88" i="1"/>
  <c r="M67" i="1"/>
  <c r="AV100" i="1"/>
  <c r="M53" i="1"/>
  <c r="AV86" i="1"/>
  <c r="M68" i="1"/>
  <c r="AV101" i="1"/>
  <c r="M64" i="1"/>
  <c r="AV97" i="1"/>
  <c r="M52" i="1"/>
  <c r="AV85" i="1"/>
  <c r="N63" i="1"/>
  <c r="AW96" i="1"/>
  <c r="Q77" i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N50" i="1"/>
  <c r="AW83" i="1"/>
  <c r="N44" i="1"/>
  <c r="AW77" i="1"/>
  <c r="P77" i="1" l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DM96" i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M47" i="1"/>
  <c r="AV80" i="1"/>
  <c r="M44" i="1"/>
  <c r="AV77" i="1"/>
  <c r="L52" i="1"/>
  <c r="AU85" i="1"/>
  <c r="L53" i="1"/>
  <c r="AU86" i="1"/>
  <c r="L62" i="1"/>
  <c r="AU95" i="1"/>
  <c r="L57" i="1"/>
  <c r="AU90" i="1"/>
  <c r="M61" i="1"/>
  <c r="AV94" i="1"/>
  <c r="L58" i="1"/>
  <c r="AU91" i="1"/>
  <c r="L48" i="1"/>
  <c r="AU81" i="1"/>
  <c r="M49" i="1"/>
  <c r="AV82" i="1"/>
  <c r="M63" i="1"/>
  <c r="AV96" i="1"/>
  <c r="AU102" i="1"/>
  <c r="M50" i="1"/>
  <c r="AV83" i="1"/>
  <c r="L64" i="1"/>
  <c r="AU97" i="1"/>
  <c r="L67" i="1"/>
  <c r="AU100" i="1"/>
  <c r="L56" i="1"/>
  <c r="AU89" i="1"/>
  <c r="L66" i="1"/>
  <c r="AU99" i="1"/>
  <c r="M59" i="1"/>
  <c r="AV92" i="1"/>
  <c r="L60" i="1"/>
  <c r="AU93" i="1"/>
  <c r="L68" i="1"/>
  <c r="AU101" i="1"/>
  <c r="DL102" i="1"/>
  <c r="DL101" i="1" s="1"/>
  <c r="DL100" i="1" s="1"/>
  <c r="DL99" i="1" s="1"/>
  <c r="DL98" i="1" s="1"/>
  <c r="DL97" i="1" s="1"/>
  <c r="L55" i="1"/>
  <c r="AU88" i="1"/>
  <c r="K45" i="1"/>
  <c r="AT78" i="1"/>
  <c r="L54" i="1"/>
  <c r="AU87" i="1"/>
  <c r="L51" i="1"/>
  <c r="AU84" i="1"/>
  <c r="L46" i="1"/>
  <c r="AU79" i="1"/>
  <c r="L65" i="1"/>
  <c r="AU98" i="1"/>
  <c r="DL96" i="1" l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O77" i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L59" i="1"/>
  <c r="AU92" i="1"/>
  <c r="K67" i="1"/>
  <c r="AT100" i="1"/>
  <c r="L63" i="1"/>
  <c r="AU96" i="1"/>
  <c r="L61" i="1"/>
  <c r="AU94" i="1"/>
  <c r="K52" i="1"/>
  <c r="AT85" i="1"/>
  <c r="K51" i="1"/>
  <c r="AT84" i="1"/>
  <c r="K64" i="1"/>
  <c r="AT97" i="1"/>
  <c r="L49" i="1"/>
  <c r="AU82" i="1"/>
  <c r="K57" i="1"/>
  <c r="AT90" i="1"/>
  <c r="L44" i="1"/>
  <c r="AU77" i="1"/>
  <c r="K46" i="1"/>
  <c r="AT79" i="1"/>
  <c r="K65" i="1"/>
  <c r="AT98" i="1"/>
  <c r="K54" i="1"/>
  <c r="AT87" i="1"/>
  <c r="DK102" i="1"/>
  <c r="DK101" i="1" s="1"/>
  <c r="DK100" i="1" s="1"/>
  <c r="DK99" i="1" s="1"/>
  <c r="DK98" i="1" s="1"/>
  <c r="DK97" i="1" s="1"/>
  <c r="K68" i="1"/>
  <c r="AT101" i="1"/>
  <c r="K66" i="1"/>
  <c r="AT99" i="1"/>
  <c r="L50" i="1"/>
  <c r="AU83" i="1"/>
  <c r="K48" i="1"/>
  <c r="AT81" i="1"/>
  <c r="K62" i="1"/>
  <c r="AT95" i="1"/>
  <c r="L47" i="1"/>
  <c r="AU80" i="1"/>
  <c r="K55" i="1"/>
  <c r="AT88" i="1"/>
  <c r="J45" i="1"/>
  <c r="AS78" i="1"/>
  <c r="K60" i="1"/>
  <c r="AT93" i="1"/>
  <c r="K56" i="1"/>
  <c r="AT89" i="1"/>
  <c r="AT102" i="1"/>
  <c r="K58" i="1"/>
  <c r="AT91" i="1"/>
  <c r="K53" i="1"/>
  <c r="AT86" i="1"/>
  <c r="N77" i="1" l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DJ102" i="1"/>
  <c r="DJ101" i="1" s="1"/>
  <c r="DJ100" i="1" s="1"/>
  <c r="DJ99" i="1" s="1"/>
  <c r="DJ98" i="1" s="1"/>
  <c r="DJ97" i="1" s="1"/>
  <c r="DK96" i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K61" i="1"/>
  <c r="AT94" i="1"/>
  <c r="J48" i="1"/>
  <c r="AS81" i="1"/>
  <c r="J57" i="1"/>
  <c r="AS90" i="1"/>
  <c r="J56" i="1"/>
  <c r="AS89" i="1"/>
  <c r="J55" i="1"/>
  <c r="AS88" i="1"/>
  <c r="K50" i="1"/>
  <c r="AT83" i="1"/>
  <c r="J65" i="1"/>
  <c r="AS98" i="1"/>
  <c r="K49" i="1"/>
  <c r="AT82" i="1"/>
  <c r="K63" i="1"/>
  <c r="AT96" i="1"/>
  <c r="J54" i="1"/>
  <c r="AS87" i="1"/>
  <c r="J53" i="1"/>
  <c r="AS86" i="1"/>
  <c r="J60" i="1"/>
  <c r="AS93" i="1"/>
  <c r="K47" i="1"/>
  <c r="AT80" i="1"/>
  <c r="J66" i="1"/>
  <c r="AS99" i="1"/>
  <c r="J46" i="1"/>
  <c r="AS79" i="1"/>
  <c r="J64" i="1"/>
  <c r="AS97" i="1"/>
  <c r="J51" i="1"/>
  <c r="AS84" i="1"/>
  <c r="J67" i="1"/>
  <c r="AS100" i="1"/>
  <c r="AS102" i="1"/>
  <c r="J58" i="1"/>
  <c r="AS91" i="1"/>
  <c r="I45" i="1"/>
  <c r="AQ78" i="1" s="1"/>
  <c r="AR78" i="1"/>
  <c r="J62" i="1"/>
  <c r="AS95" i="1"/>
  <c r="J68" i="1"/>
  <c r="AS101" i="1"/>
  <c r="K44" i="1"/>
  <c r="AT77" i="1"/>
  <c r="J52" i="1"/>
  <c r="AS85" i="1"/>
  <c r="K59" i="1"/>
  <c r="AT92" i="1"/>
  <c r="DI102" i="1" l="1"/>
  <c r="DI101" i="1" s="1"/>
  <c r="DI100" i="1" s="1"/>
  <c r="DI99" i="1" s="1"/>
  <c r="DI98" i="1" s="1"/>
  <c r="DI97" i="1" s="1"/>
  <c r="DJ96" i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I62" i="1"/>
  <c r="AQ95" i="1" s="1"/>
  <c r="AR95" i="1"/>
  <c r="I67" i="1"/>
  <c r="AQ100" i="1" s="1"/>
  <c r="AR100" i="1"/>
  <c r="I66" i="1"/>
  <c r="AQ99" i="1" s="1"/>
  <c r="AR99" i="1"/>
  <c r="I54" i="1"/>
  <c r="AQ87" i="1" s="1"/>
  <c r="AR87" i="1"/>
  <c r="J49" i="1"/>
  <c r="AS82" i="1"/>
  <c r="I56" i="1"/>
  <c r="AQ89" i="1" s="1"/>
  <c r="AR89" i="1"/>
  <c r="J44" i="1"/>
  <c r="AS77" i="1"/>
  <c r="I51" i="1"/>
  <c r="AQ84" i="1" s="1"/>
  <c r="AR84" i="1"/>
  <c r="J47" i="1"/>
  <c r="AS80" i="1"/>
  <c r="I65" i="1"/>
  <c r="AQ98" i="1" s="1"/>
  <c r="AR98" i="1"/>
  <c r="I57" i="1"/>
  <c r="AQ90" i="1" s="1"/>
  <c r="AR90" i="1"/>
  <c r="M77" i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I58" i="1"/>
  <c r="AQ91" i="1" s="1"/>
  <c r="AR91" i="1"/>
  <c r="I64" i="1"/>
  <c r="AQ97" i="1" s="1"/>
  <c r="AR97" i="1"/>
  <c r="I60" i="1"/>
  <c r="AQ93" i="1" s="1"/>
  <c r="AR93" i="1"/>
  <c r="J63" i="1"/>
  <c r="AS96" i="1"/>
  <c r="J50" i="1"/>
  <c r="AS83" i="1"/>
  <c r="I48" i="1"/>
  <c r="AQ81" i="1" s="1"/>
  <c r="AR81" i="1"/>
  <c r="J59" i="1"/>
  <c r="AS92" i="1"/>
  <c r="I52" i="1"/>
  <c r="AQ85" i="1" s="1"/>
  <c r="AR85" i="1"/>
  <c r="I68" i="1"/>
  <c r="AQ101" i="1" s="1"/>
  <c r="AR101" i="1"/>
  <c r="AQ102" i="1"/>
  <c r="AR102" i="1"/>
  <c r="I46" i="1"/>
  <c r="AQ79" i="1" s="1"/>
  <c r="AR79" i="1"/>
  <c r="I53" i="1"/>
  <c r="AQ86" i="1" s="1"/>
  <c r="AR86" i="1"/>
  <c r="I55" i="1"/>
  <c r="AQ88" i="1" s="1"/>
  <c r="AR88" i="1"/>
  <c r="J61" i="1"/>
  <c r="AS94" i="1"/>
  <c r="DH102" i="1" l="1"/>
  <c r="DH101" i="1" s="1"/>
  <c r="DH100" i="1" s="1"/>
  <c r="DH99" i="1" s="1"/>
  <c r="DH98" i="1" s="1"/>
  <c r="DH97" i="1" s="1"/>
  <c r="DG102" i="1"/>
  <c r="DG101" i="1" s="1"/>
  <c r="DG100" i="1" s="1"/>
  <c r="DG99" i="1" s="1"/>
  <c r="DG98" i="1" s="1"/>
  <c r="DG97" i="1" s="1"/>
  <c r="I50" i="1"/>
  <c r="AQ83" i="1" s="1"/>
  <c r="AR83" i="1"/>
  <c r="DI96" i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I47" i="1"/>
  <c r="AQ80" i="1" s="1"/>
  <c r="AR80" i="1"/>
  <c r="I63" i="1"/>
  <c r="AQ96" i="1" s="1"/>
  <c r="AR96" i="1"/>
  <c r="I49" i="1"/>
  <c r="AQ82" i="1" s="1"/>
  <c r="AR82" i="1"/>
  <c r="I44" i="1"/>
  <c r="AQ77" i="1" s="1"/>
  <c r="AR77" i="1"/>
  <c r="I61" i="1"/>
  <c r="AQ94" i="1" s="1"/>
  <c r="AR94" i="1"/>
  <c r="I59" i="1"/>
  <c r="AQ92" i="1" s="1"/>
  <c r="AR92" i="1"/>
  <c r="DG96" i="1" l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H96" i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K77" i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I77" i="1" l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J77" i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</calcChain>
</file>

<file path=xl/sharedStrings.xml><?xml version="1.0" encoding="utf-8"?>
<sst xmlns="http://schemas.openxmlformats.org/spreadsheetml/2006/main" count="50" uniqueCount="31">
  <si>
    <t>L</t>
  </si>
  <si>
    <t>H</t>
  </si>
  <si>
    <t>dx</t>
  </si>
  <si>
    <t>dy</t>
  </si>
  <si>
    <t>t</t>
  </si>
  <si>
    <t>dt</t>
  </si>
  <si>
    <t>Cp</t>
  </si>
  <si>
    <t>ro</t>
  </si>
  <si>
    <t>lambda</t>
  </si>
  <si>
    <t>T_start</t>
  </si>
  <si>
    <t>T</t>
  </si>
  <si>
    <t>T_end</t>
  </si>
  <si>
    <t>T_i</t>
  </si>
  <si>
    <t>F_i</t>
  </si>
  <si>
    <t>A</t>
  </si>
  <si>
    <t>alpha_i</t>
  </si>
  <si>
    <t>B</t>
  </si>
  <si>
    <t>C</t>
  </si>
  <si>
    <t>beta_i</t>
  </si>
  <si>
    <t>T(n+1)</t>
  </si>
  <si>
    <t>L/H</t>
  </si>
  <si>
    <t>X</t>
  </si>
  <si>
    <t>Y</t>
  </si>
  <si>
    <t>ГУ</t>
  </si>
  <si>
    <t>Физика</t>
  </si>
  <si>
    <t>Исходныпе</t>
  </si>
  <si>
    <t>n+0,5</t>
  </si>
  <si>
    <t>Fi</t>
  </si>
  <si>
    <t>alphai</t>
  </si>
  <si>
    <t>betai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</si>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</sst>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37</xdr:row>
          <xdr:rowOff>38100</xdr:rowOff>
        </xdr:from>
        <xdr:to>
          <xdr:col>2</xdr:col>
          <xdr:colOff>259080</xdr:colOff>
          <xdr:row>39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25</xdr:row>
          <xdr:rowOff>38100</xdr:rowOff>
        </xdr:from>
        <xdr:to>
          <xdr:col>5</xdr:col>
          <xdr:colOff>259080</xdr:colOff>
          <xdr:row>27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EF107"/>
  <sheetViews>
    <sheetView tabSelected="1" topLeftCell="B1" zoomScale="55" zoomScaleNormal="55" workbookViewId="0">
      <selection activeCell="I11" sqref="I11:AK41"/>
    </sheetView>
  </sheetViews>
  <sheetFormatPr defaultColWidth="9.109375" defaultRowHeight="14.4" x14ac:dyDescent="0.3"/>
  <cols>
    <col min="1" max="6" width="9.109375" style="3"/>
    <col min="7" max="7" width="12.109375" style="3" bestFit="1" customWidth="1"/>
    <col min="8" max="41" width="9.109375" style="3"/>
    <col min="42" max="42" width="11.5546875" style="3" bestFit="1" customWidth="1"/>
    <col min="43" max="16384" width="9.109375" style="3"/>
  </cols>
  <sheetData>
    <row r="2" spans="1:38" x14ac:dyDescent="0.3">
      <c r="A2" s="8" t="s">
        <v>25</v>
      </c>
      <c r="B2" s="2" t="s">
        <v>0</v>
      </c>
      <c r="C2" s="2">
        <v>0.18</v>
      </c>
    </row>
    <row r="3" spans="1:38" x14ac:dyDescent="0.3">
      <c r="A3" s="8"/>
      <c r="B3" s="2" t="s">
        <v>1</v>
      </c>
      <c r="C3" s="2">
        <v>0.18</v>
      </c>
    </row>
    <row r="4" spans="1:38" x14ac:dyDescent="0.3">
      <c r="A4" s="8"/>
      <c r="B4" s="2" t="s">
        <v>2</v>
      </c>
      <c r="C4" s="2">
        <f>C2/26</f>
        <v>6.9230769230769224E-3</v>
      </c>
    </row>
    <row r="5" spans="1:38" x14ac:dyDescent="0.3">
      <c r="A5" s="8"/>
      <c r="B5" s="2" t="s">
        <v>3</v>
      </c>
      <c r="C5" s="2">
        <f>C3/26</f>
        <v>6.9230769230769224E-3</v>
      </c>
      <c r="D5" s="3">
        <v>150</v>
      </c>
    </row>
    <row r="6" spans="1:38" x14ac:dyDescent="0.3">
      <c r="A6" s="8"/>
      <c r="B6" s="2" t="s">
        <v>5</v>
      </c>
      <c r="C6" s="2">
        <v>1</v>
      </c>
    </row>
    <row r="7" spans="1:38" x14ac:dyDescent="0.3">
      <c r="A7" s="8"/>
      <c r="B7" s="2" t="s">
        <v>4</v>
      </c>
      <c r="C7" s="2">
        <v>150</v>
      </c>
    </row>
    <row r="9" spans="1:38" x14ac:dyDescent="0.3">
      <c r="A9" s="9" t="s">
        <v>24</v>
      </c>
      <c r="B9" s="4" t="s">
        <v>6</v>
      </c>
      <c r="C9" s="4">
        <v>460</v>
      </c>
      <c r="F9" s="13"/>
      <c r="G9" s="13"/>
      <c r="H9" s="14">
        <v>1</v>
      </c>
      <c r="I9" s="13">
        <v>2</v>
      </c>
      <c r="J9" s="13">
        <v>3</v>
      </c>
      <c r="K9" s="13">
        <v>4</v>
      </c>
      <c r="L9" s="13">
        <v>5</v>
      </c>
      <c r="M9" s="13">
        <v>6</v>
      </c>
      <c r="N9" s="13">
        <v>7</v>
      </c>
      <c r="O9" s="13">
        <v>8</v>
      </c>
      <c r="P9" s="13">
        <v>9</v>
      </c>
      <c r="Q9" s="13">
        <v>10</v>
      </c>
      <c r="R9" s="13">
        <v>11</v>
      </c>
      <c r="S9" s="13">
        <v>12</v>
      </c>
      <c r="T9" s="13">
        <v>13</v>
      </c>
      <c r="U9" s="13">
        <v>14</v>
      </c>
      <c r="V9" s="13">
        <v>15</v>
      </c>
      <c r="W9" s="13">
        <v>16</v>
      </c>
      <c r="X9" s="13">
        <v>17</v>
      </c>
      <c r="Y9" s="13">
        <v>18</v>
      </c>
      <c r="Z9" s="13">
        <v>19</v>
      </c>
      <c r="AA9" s="13">
        <v>20</v>
      </c>
      <c r="AB9" s="13">
        <v>21</v>
      </c>
      <c r="AC9" s="13">
        <v>22</v>
      </c>
      <c r="AD9" s="13">
        <v>23</v>
      </c>
      <c r="AE9" s="13">
        <v>24</v>
      </c>
      <c r="AF9" s="13">
        <v>25</v>
      </c>
      <c r="AG9" s="13">
        <v>26</v>
      </c>
      <c r="AH9" s="13">
        <v>27</v>
      </c>
      <c r="AI9"/>
      <c r="AJ9"/>
      <c r="AK9"/>
      <c r="AL9"/>
    </row>
    <row r="10" spans="1:38" x14ac:dyDescent="0.3">
      <c r="A10" s="9"/>
      <c r="B10" s="4" t="s">
        <v>7</v>
      </c>
      <c r="C10" s="4">
        <v>7800</v>
      </c>
      <c r="F10" s="13"/>
      <c r="G10" s="13" t="s">
        <v>20</v>
      </c>
      <c r="H10" s="14">
        <v>0</v>
      </c>
      <c r="I10" s="13">
        <f t="shared" ref="I10:AH10" si="0">H10+$C$4</f>
        <v>6.9230769230769224E-3</v>
      </c>
      <c r="J10" s="13">
        <f t="shared" si="0"/>
        <v>1.3846153846153845E-2</v>
      </c>
      <c r="K10" s="13">
        <f t="shared" si="0"/>
        <v>2.0769230769230769E-2</v>
      </c>
      <c r="L10" s="13">
        <f t="shared" si="0"/>
        <v>2.769230769230769E-2</v>
      </c>
      <c r="M10" s="13">
        <f t="shared" si="0"/>
        <v>3.461538461538461E-2</v>
      </c>
      <c r="N10" s="13">
        <f t="shared" si="0"/>
        <v>4.1538461538461531E-2</v>
      </c>
      <c r="O10" s="13">
        <f t="shared" si="0"/>
        <v>4.8461538461538452E-2</v>
      </c>
      <c r="P10" s="13">
        <f t="shared" si="0"/>
        <v>5.5384615384615372E-2</v>
      </c>
      <c r="Q10" s="13">
        <f t="shared" si="0"/>
        <v>6.2307692307692293E-2</v>
      </c>
      <c r="R10" s="13">
        <f t="shared" si="0"/>
        <v>6.9230769230769221E-2</v>
      </c>
      <c r="S10" s="13">
        <f t="shared" si="0"/>
        <v>7.6153846153846141E-2</v>
      </c>
      <c r="T10" s="13">
        <f t="shared" si="0"/>
        <v>8.3076923076923062E-2</v>
      </c>
      <c r="U10" s="13">
        <f t="shared" si="0"/>
        <v>8.9999999999999983E-2</v>
      </c>
      <c r="V10" s="13">
        <f t="shared" si="0"/>
        <v>9.6923076923076903E-2</v>
      </c>
      <c r="W10" s="13">
        <f t="shared" si="0"/>
        <v>0.10384615384615382</v>
      </c>
      <c r="X10" s="13">
        <f t="shared" si="0"/>
        <v>0.11076923076923074</v>
      </c>
      <c r="Y10" s="13">
        <f t="shared" si="0"/>
        <v>0.11769230769230767</v>
      </c>
      <c r="Z10" s="13">
        <f t="shared" si="0"/>
        <v>0.12461538461538459</v>
      </c>
      <c r="AA10" s="13">
        <f t="shared" si="0"/>
        <v>0.13153846153846152</v>
      </c>
      <c r="AB10" s="13">
        <f t="shared" si="0"/>
        <v>0.13846153846153844</v>
      </c>
      <c r="AC10" s="13">
        <f t="shared" si="0"/>
        <v>0.14538461538461536</v>
      </c>
      <c r="AD10" s="13">
        <f t="shared" si="0"/>
        <v>0.15230769230769228</v>
      </c>
      <c r="AE10" s="13">
        <f t="shared" si="0"/>
        <v>0.1592307692307692</v>
      </c>
      <c r="AF10" s="13">
        <f t="shared" si="0"/>
        <v>0.16615384615384612</v>
      </c>
      <c r="AG10" s="13">
        <f t="shared" si="0"/>
        <v>0.17307692307692304</v>
      </c>
      <c r="AH10" s="13">
        <f t="shared" si="0"/>
        <v>0.17999999999999997</v>
      </c>
      <c r="AI10"/>
      <c r="AJ10"/>
      <c r="AK10"/>
      <c r="AL10"/>
    </row>
    <row r="11" spans="1:38" x14ac:dyDescent="0.3">
      <c r="A11" s="9"/>
      <c r="B11" s="4" t="s">
        <v>8</v>
      </c>
      <c r="C11" s="4">
        <v>46</v>
      </c>
      <c r="F11" s="13">
        <v>1</v>
      </c>
      <c r="G11" s="13">
        <v>0.1</v>
      </c>
      <c r="H11" s="3">
        <f t="shared" ref="H11:H32" si="1">$C$13</f>
        <v>100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</row>
    <row r="12" spans="1:38" x14ac:dyDescent="0.3">
      <c r="F12" s="13">
        <v>2</v>
      </c>
      <c r="G12" s="13">
        <f>G11-$C$5</f>
        <v>9.3076923076923085E-2</v>
      </c>
      <c r="H12" s="3">
        <f t="shared" si="1"/>
        <v>100</v>
      </c>
      <c r="I12" s="3">
        <v>34.14098435031476</v>
      </c>
      <c r="J12" s="3">
        <v>22.065435600419729</v>
      </c>
      <c r="K12" s="3">
        <v>15.669148710573836</v>
      </c>
      <c r="L12" s="3">
        <v>11.92868099303789</v>
      </c>
      <c r="M12" s="3">
        <v>9.539647954335674</v>
      </c>
      <c r="N12" s="3">
        <v>7.8973894556587858</v>
      </c>
      <c r="O12" s="3">
        <v>6.6998778702652633</v>
      </c>
      <c r="P12" s="3">
        <v>5.7847963973106777</v>
      </c>
      <c r="Q12" s="3">
        <v>5.0587720713350128</v>
      </c>
      <c r="R12" s="3">
        <v>4.4647320708174183</v>
      </c>
      <c r="S12" s="3">
        <v>3.9659051435663826</v>
      </c>
      <c r="T12" s="3">
        <v>3.5375094662506781</v>
      </c>
      <c r="U12" s="3">
        <v>3.1621941984062172</v>
      </c>
      <c r="V12" s="3">
        <v>2.8274153159730839</v>
      </c>
      <c r="W12" s="3">
        <v>2.5238590660112474</v>
      </c>
      <c r="X12" s="3">
        <v>2.2444587911009237</v>
      </c>
      <c r="Y12" s="3">
        <v>1.983761216384986</v>
      </c>
      <c r="Z12" s="3">
        <v>1.7375054218508426</v>
      </c>
      <c r="AA12" s="3">
        <v>1.5023346737060268</v>
      </c>
      <c r="AB12" s="3">
        <v>1.2755927909140095</v>
      </c>
      <c r="AC12" s="3">
        <v>1.0551748110662944</v>
      </c>
      <c r="AD12" s="3">
        <v>0.83941249421351238</v>
      </c>
      <c r="AE12" s="3">
        <v>0.62698187279672968</v>
      </c>
      <c r="AF12" s="3">
        <v>0.41682435909212473</v>
      </c>
      <c r="AG12" s="3">
        <v>0.20807581559329658</v>
      </c>
      <c r="AH12" s="3">
        <v>0</v>
      </c>
    </row>
    <row r="13" spans="1:38" x14ac:dyDescent="0.3">
      <c r="A13" s="10" t="s">
        <v>23</v>
      </c>
      <c r="B13" s="5" t="s">
        <v>9</v>
      </c>
      <c r="C13" s="5">
        <v>100</v>
      </c>
      <c r="F13" s="13">
        <v>3</v>
      </c>
      <c r="G13" s="13">
        <f t="shared" ref="G13:G32" si="2">G12-$C$5</f>
        <v>8.6153846153846164E-2</v>
      </c>
      <c r="H13" s="3">
        <f t="shared" si="1"/>
        <v>100</v>
      </c>
      <c r="I13" s="3">
        <v>50.231019546896825</v>
      </c>
      <c r="J13" s="3">
        <v>36.70872338107317</v>
      </c>
      <c r="K13" s="3">
        <v>28.033629130733985</v>
      </c>
      <c r="L13" s="3">
        <v>22.250769112768566</v>
      </c>
      <c r="M13" s="3">
        <v>18.224984869959606</v>
      </c>
      <c r="N13" s="3">
        <v>15.300529296855629</v>
      </c>
      <c r="O13" s="3">
        <v>13.091857977075122</v>
      </c>
      <c r="P13" s="3">
        <v>11.36558137855177</v>
      </c>
      <c r="Q13" s="3">
        <v>9.975463707241035</v>
      </c>
      <c r="R13" s="3">
        <v>8.8265266728526086</v>
      </c>
      <c r="S13" s="3">
        <v>7.8548843671431863</v>
      </c>
      <c r="T13" s="3">
        <v>7.0161339784497958</v>
      </c>
      <c r="U13" s="3">
        <v>6.2784829877624393</v>
      </c>
      <c r="V13" s="3">
        <v>5.618561744657586</v>
      </c>
      <c r="W13" s="3">
        <v>5.0187995895674762</v>
      </c>
      <c r="X13" s="3">
        <v>4.4657362639313494</v>
      </c>
      <c r="Y13" s="3">
        <v>3.9489073122654448</v>
      </c>
      <c r="Z13" s="3">
        <v>3.4600898328740013</v>
      </c>
      <c r="AA13" s="3">
        <v>2.9927786187637548</v>
      </c>
      <c r="AB13" s="3">
        <v>2.541811388655157</v>
      </c>
      <c r="AC13" s="3">
        <v>2.1030908700555666</v>
      </c>
      <c r="AD13" s="3">
        <v>1.6733693737997166</v>
      </c>
      <c r="AE13" s="3">
        <v>1.2500728802707839</v>
      </c>
      <c r="AF13" s="3">
        <v>0.83114919860627523</v>
      </c>
      <c r="AG13" s="3">
        <v>0.41492997029982176</v>
      </c>
      <c r="AH13" s="3">
        <v>0</v>
      </c>
    </row>
    <row r="14" spans="1:38" x14ac:dyDescent="0.3">
      <c r="A14" s="10"/>
      <c r="B14" s="5" t="s">
        <v>11</v>
      </c>
      <c r="C14" s="5">
        <v>0</v>
      </c>
      <c r="F14" s="13">
        <v>4</v>
      </c>
      <c r="G14" s="13">
        <f t="shared" si="2"/>
        <v>7.9230769230769243E-2</v>
      </c>
      <c r="H14" s="3">
        <f t="shared" si="1"/>
        <v>100</v>
      </c>
      <c r="I14" s="3">
        <v>58.595592414454714</v>
      </c>
      <c r="J14" s="3">
        <v>46.30697464345333</v>
      </c>
      <c r="K14" s="3">
        <v>37.302619349150319</v>
      </c>
      <c r="L14" s="3">
        <v>30.67954501468488</v>
      </c>
      <c r="M14" s="3">
        <v>25.725967410743884</v>
      </c>
      <c r="N14" s="3">
        <v>21.937344683987824</v>
      </c>
      <c r="O14" s="3">
        <v>18.969146546231521</v>
      </c>
      <c r="P14" s="3">
        <v>16.587872870663514</v>
      </c>
      <c r="Q14" s="3">
        <v>14.634063732915639</v>
      </c>
      <c r="R14" s="3">
        <v>12.997107429484984</v>
      </c>
      <c r="S14" s="3">
        <v>11.598757050579358</v>
      </c>
      <c r="T14" s="3">
        <v>10.382479989534296</v>
      </c>
      <c r="U14" s="3">
        <v>9.3065668796126371</v>
      </c>
      <c r="V14" s="3">
        <v>8.3396332883014175</v>
      </c>
      <c r="W14" s="3">
        <v>7.4576452962362705</v>
      </c>
      <c r="X14" s="3">
        <v>6.6419229033332048</v>
      </c>
      <c r="Y14" s="3">
        <v>5.877777499872809</v>
      </c>
      <c r="Z14" s="3">
        <v>5.1535649011454074</v>
      </c>
      <c r="AA14" s="3">
        <v>4.4600130085829734</v>
      </c>
      <c r="AB14" s="3">
        <v>3.7897315548309747</v>
      </c>
      <c r="AC14" s="3">
        <v>3.1368420032335287</v>
      </c>
      <c r="AD14" s="3">
        <v>2.4966854463978527</v>
      </c>
      <c r="AE14" s="3">
        <v>1.8655795144757505</v>
      </c>
      <c r="AF14" s="3">
        <v>1.2406044309030333</v>
      </c>
      <c r="AG14" s="3">
        <v>0.61940496769806042</v>
      </c>
      <c r="AH14" s="3">
        <v>0</v>
      </c>
    </row>
    <row r="15" spans="1:38" x14ac:dyDescent="0.3">
      <c r="F15" s="13">
        <v>5</v>
      </c>
      <c r="G15" s="13">
        <f t="shared" si="2"/>
        <v>7.2307692307692323E-2</v>
      </c>
      <c r="H15" s="3">
        <f t="shared" si="1"/>
        <v>100</v>
      </c>
      <c r="I15" s="3">
        <v>63.380184642850303</v>
      </c>
      <c r="J15" s="3">
        <v>52.719524993469463</v>
      </c>
      <c r="K15" s="3">
        <v>44.161576538076829</v>
      </c>
      <c r="L15" s="3">
        <v>37.384986933173927</v>
      </c>
      <c r="M15" s="3">
        <v>32.012898866546522</v>
      </c>
      <c r="N15" s="3">
        <v>27.714688294391724</v>
      </c>
      <c r="O15" s="3">
        <v>24.228979104294339</v>
      </c>
      <c r="P15" s="3">
        <v>21.358086239052867</v>
      </c>
      <c r="Q15" s="3">
        <v>18.954999428780365</v>
      </c>
      <c r="R15" s="3">
        <v>16.910645887838605</v>
      </c>
      <c r="S15" s="3">
        <v>15.143621860509631</v>
      </c>
      <c r="T15" s="3">
        <v>13.592537821164084</v>
      </c>
      <c r="U15" s="3">
        <v>12.210513237761219</v>
      </c>
      <c r="V15" s="3">
        <v>10.961278845569389</v>
      </c>
      <c r="W15" s="3">
        <v>9.8164298931589986</v>
      </c>
      <c r="X15" s="3">
        <v>8.7534867200553439</v>
      </c>
      <c r="Y15" s="3">
        <v>7.7545163581016805</v>
      </c>
      <c r="Z15" s="3">
        <v>6.8051422165389743</v>
      </c>
      <c r="AA15" s="3">
        <v>5.8938210389176318</v>
      </c>
      <c r="AB15" s="3">
        <v>5.011302372736874</v>
      </c>
      <c r="AC15" s="3">
        <v>4.1502105397375599</v>
      </c>
      <c r="AD15" s="3">
        <v>3.3047062381165828</v>
      </c>
      <c r="AE15" s="3">
        <v>2.4701971116286723</v>
      </c>
      <c r="AF15" s="3">
        <v>1.6430757015627193</v>
      </c>
      <c r="AG15" s="3">
        <v>0.82047030405506483</v>
      </c>
      <c r="AH15" s="3">
        <v>0</v>
      </c>
    </row>
    <row r="16" spans="1:38" x14ac:dyDescent="0.3">
      <c r="F16" s="13">
        <v>6</v>
      </c>
      <c r="G16" s="13">
        <f t="shared" si="2"/>
        <v>6.5384615384615402E-2</v>
      </c>
      <c r="H16" s="3">
        <f t="shared" si="1"/>
        <v>100</v>
      </c>
      <c r="I16" s="3">
        <v>66.359236373304896</v>
      </c>
      <c r="J16" s="3">
        <v>57.138014320382283</v>
      </c>
      <c r="K16" s="3">
        <v>49.261072556298686</v>
      </c>
      <c r="L16" s="3">
        <v>42.671708128057325</v>
      </c>
      <c r="M16" s="3">
        <v>37.199959605632515</v>
      </c>
      <c r="N16" s="3">
        <v>32.651643061157962</v>
      </c>
      <c r="O16" s="3">
        <v>28.84744856085306</v>
      </c>
      <c r="P16" s="3">
        <v>25.635880054213271</v>
      </c>
      <c r="Q16" s="3">
        <v>22.894257633416014</v>
      </c>
      <c r="R16" s="3">
        <v>20.525165997226935</v>
      </c>
      <c r="S16" s="3">
        <v>18.451785349974507</v>
      </c>
      <c r="T16" s="3">
        <v>16.613510617252615</v>
      </c>
      <c r="U16" s="3">
        <v>14.962310414634253</v>
      </c>
      <c r="V16" s="3">
        <v>13.459870689641216</v>
      </c>
      <c r="W16" s="3">
        <v>12.075420166133995</v>
      </c>
      <c r="X16" s="3">
        <v>10.78409971432303</v>
      </c>
      <c r="Y16" s="3">
        <v>9.5657464815533029</v>
      </c>
      <c r="Z16" s="3">
        <v>8.4039854554910285</v>
      </c>
      <c r="AA16" s="3">
        <v>7.2855437447804947</v>
      </c>
      <c r="AB16" s="3">
        <v>6.1997221173659733</v>
      </c>
      <c r="AC16" s="3">
        <v>5.1379735590208497</v>
      </c>
      <c r="AD16" s="3">
        <v>4.093550429519146</v>
      </c>
      <c r="AE16" s="3">
        <v>3.0611911748435015</v>
      </c>
      <c r="AF16" s="3">
        <v>2.0368254040631575</v>
      </c>
      <c r="AG16" s="3">
        <v>1.0172830934668566</v>
      </c>
      <c r="AH16" s="3">
        <v>0</v>
      </c>
    </row>
    <row r="17" spans="1:34" x14ac:dyDescent="0.3">
      <c r="F17" s="13">
        <v>7</v>
      </c>
      <c r="G17" s="13">
        <f t="shared" si="2"/>
        <v>5.8461538461538481E-2</v>
      </c>
      <c r="H17" s="3">
        <f t="shared" si="1"/>
        <v>100</v>
      </c>
      <c r="I17" s="3">
        <v>68.347848259921392</v>
      </c>
      <c r="J17" s="3">
        <v>60.284895880329572</v>
      </c>
      <c r="K17" s="3">
        <v>53.100185243269173</v>
      </c>
      <c r="L17" s="3">
        <v>46.840619636302705</v>
      </c>
      <c r="M17" s="3">
        <v>41.449293168415537</v>
      </c>
      <c r="N17" s="3">
        <v>36.823740312761792</v>
      </c>
      <c r="O17" s="3">
        <v>32.849969409059604</v>
      </c>
      <c r="P17" s="3">
        <v>29.419557843252399</v>
      </c>
      <c r="Q17" s="3">
        <v>26.436678256664479</v>
      </c>
      <c r="R17" s="3">
        <v>23.819803203951917</v>
      </c>
      <c r="S17" s="3">
        <v>21.500927648907279</v>
      </c>
      <c r="T17" s="3">
        <v>19.42384865159713</v>
      </c>
      <c r="U17" s="3">
        <v>17.54226389804602</v>
      </c>
      <c r="V17" s="3">
        <v>15.818023412054947</v>
      </c>
      <c r="W17" s="3">
        <v>14.219650284522295</v>
      </c>
      <c r="X17" s="3">
        <v>12.721143035353263</v>
      </c>
      <c r="Y17" s="3">
        <v>11.30102881177201</v>
      </c>
      <c r="Z17" s="3">
        <v>9.941622313427203</v>
      </c>
      <c r="AA17" s="3">
        <v>8.6284440447277362</v>
      </c>
      <c r="AB17" s="3">
        <v>7.3497553140354901</v>
      </c>
      <c r="AC17" s="3">
        <v>6.0961727808726778</v>
      </c>
      <c r="AD17" s="3">
        <v>4.8603310027968467</v>
      </c>
      <c r="AE17" s="3">
        <v>3.6365671521799348</v>
      </c>
      <c r="AF17" s="3">
        <v>2.4206080884612966</v>
      </c>
      <c r="AG17" s="3">
        <v>1.2092465187975174</v>
      </c>
      <c r="AH17" s="3">
        <v>0</v>
      </c>
    </row>
    <row r="18" spans="1:34" x14ac:dyDescent="0.3">
      <c r="F18" s="13">
        <v>8</v>
      </c>
      <c r="G18" s="13">
        <f t="shared" si="2"/>
        <v>5.1538461538461561E-2</v>
      </c>
      <c r="H18" s="3">
        <f t="shared" si="1"/>
        <v>100</v>
      </c>
      <c r="I18" s="3">
        <v>69.748919445530518</v>
      </c>
      <c r="J18" s="3">
        <v>62.595226990582908</v>
      </c>
      <c r="K18" s="3">
        <v>56.033783498401249</v>
      </c>
      <c r="L18" s="3">
        <v>50.143108491967091</v>
      </c>
      <c r="M18" s="3">
        <v>44.922736654391358</v>
      </c>
      <c r="N18" s="3">
        <v>40.326647808581576</v>
      </c>
      <c r="O18" s="3">
        <v>36.287468962116428</v>
      </c>
      <c r="P18" s="3">
        <v>32.731603657507193</v>
      </c>
      <c r="Q18" s="3">
        <v>29.587607375319099</v>
      </c>
      <c r="R18" s="3">
        <v>26.790193217900615</v>
      </c>
      <c r="S18" s="3">
        <v>24.281678931965995</v>
      </c>
      <c r="T18" s="3">
        <v>22.012071733441402</v>
      </c>
      <c r="U18" s="3">
        <v>19.938513414622712</v>
      </c>
      <c r="V18" s="3">
        <v>18.024490828083749</v>
      </c>
      <c r="W18" s="3">
        <v>16.239021490464239</v>
      </c>
      <c r="X18" s="3">
        <v>14.555910910182522</v>
      </c>
      <c r="Y18" s="3">
        <v>12.953115982416298</v>
      </c>
      <c r="Z18" s="3">
        <v>11.412216167598537</v>
      </c>
      <c r="AA18" s="3">
        <v>9.9179779651795936</v>
      </c>
      <c r="AB18" s="3">
        <v>8.4579907394336775</v>
      </c>
      <c r="AC18" s="3">
        <v>7.0223491314065116</v>
      </c>
      <c r="AD18" s="3">
        <v>5.6033571742767361</v>
      </c>
      <c r="AE18" s="3">
        <v>4.1952311787735876</v>
      </c>
      <c r="AF18" s="3">
        <v>2.7937824821757289</v>
      </c>
      <c r="AG18" s="3">
        <v>1.3960674018834713</v>
      </c>
      <c r="AH18" s="3">
        <v>0</v>
      </c>
    </row>
    <row r="19" spans="1:34" x14ac:dyDescent="0.3">
      <c r="A19" s="11" t="s">
        <v>21</v>
      </c>
      <c r="B19" s="6" t="s">
        <v>14</v>
      </c>
      <c r="C19" s="6">
        <f>C11/(C4^2)</f>
        <v>959753.08641975326</v>
      </c>
      <c r="F19" s="13">
        <v>9</v>
      </c>
      <c r="G19" s="13">
        <f t="shared" si="2"/>
        <v>4.461538461538464E-2</v>
      </c>
      <c r="H19" s="3">
        <f t="shared" si="1"/>
        <v>100</v>
      </c>
      <c r="I19" s="3">
        <v>70.776301660212255</v>
      </c>
      <c r="J19" s="3">
        <v>64.334792930535514</v>
      </c>
      <c r="K19" s="3">
        <v>58.3071693369236</v>
      </c>
      <c r="L19" s="3">
        <v>52.774552751730056</v>
      </c>
      <c r="M19" s="3">
        <v>47.761956761832813</v>
      </c>
      <c r="N19" s="3">
        <v>43.25596221443535</v>
      </c>
      <c r="O19" s="3">
        <v>39.220273270416257</v>
      </c>
      <c r="P19" s="3">
        <v>35.607201115729715</v>
      </c>
      <c r="Q19" s="3">
        <v>32.36523412681904</v>
      </c>
      <c r="R19" s="3">
        <v>29.443576387239158</v>
      </c>
      <c r="S19" s="3">
        <v>26.794599054432705</v>
      </c>
      <c r="T19" s="3">
        <v>24.37497072087902</v>
      </c>
      <c r="U19" s="3">
        <v>22.146012253057467</v>
      </c>
      <c r="V19" s="3">
        <v>20.073633904447881</v>
      </c>
      <c r="W19" s="3">
        <v>18.128074950553376</v>
      </c>
      <c r="X19" s="3">
        <v>16.283573233864143</v>
      </c>
      <c r="Y19" s="3">
        <v>14.518032399704957</v>
      </c>
      <c r="Z19" s="3">
        <v>12.812717441958039</v>
      </c>
      <c r="AA19" s="3">
        <v>11.151986239870235</v>
      </c>
      <c r="AB19" s="3">
        <v>9.5230505251661306</v>
      </c>
      <c r="AC19" s="3">
        <v>7.9157508709978082</v>
      </c>
      <c r="AD19" s="3">
        <v>6.3223252291443837</v>
      </c>
      <c r="AE19" s="3">
        <v>4.7371488538332365</v>
      </c>
      <c r="AF19" s="3">
        <v>3.1564254706081569</v>
      </c>
      <c r="AG19" s="3">
        <v>1.5778157954912317</v>
      </c>
      <c r="AH19" s="3">
        <v>0</v>
      </c>
    </row>
    <row r="20" spans="1:34" x14ac:dyDescent="0.3">
      <c r="A20" s="11"/>
      <c r="B20" s="6" t="s">
        <v>16</v>
      </c>
      <c r="C20" s="6">
        <f>2*C11/(C4^2)+C10*C9/C6</f>
        <v>5507506.1728395065</v>
      </c>
      <c r="F20" s="13">
        <v>10</v>
      </c>
      <c r="G20" s="13">
        <f t="shared" si="2"/>
        <v>3.7692307692307719E-2</v>
      </c>
      <c r="H20" s="3">
        <f t="shared" si="1"/>
        <v>100</v>
      </c>
      <c r="I20" s="3">
        <v>71.551070247278247</v>
      </c>
      <c r="J20" s="3">
        <v>65.669747350912843</v>
      </c>
      <c r="K20" s="3">
        <v>60.088663312996687</v>
      </c>
      <c r="L20" s="3">
        <v>54.881544032996956</v>
      </c>
      <c r="M20" s="3">
        <v>50.08306869843841</v>
      </c>
      <c r="N20" s="3">
        <v>45.697573986801579</v>
      </c>
      <c r="O20" s="3">
        <v>41.708454582267429</v>
      </c>
      <c r="P20" s="3">
        <v>38.086211315918661</v>
      </c>
      <c r="Q20" s="3">
        <v>34.794526965530061</v>
      </c>
      <c r="R20" s="3">
        <v>31.794471897365032</v>
      </c>
      <c r="S20" s="3">
        <v>29.047213720959824</v>
      </c>
      <c r="T20" s="3">
        <v>26.515643248979167</v>
      </c>
      <c r="U20" s="3">
        <v>24.165269643908868</v>
      </c>
      <c r="V20" s="3">
        <v>21.964652491865838</v>
      </c>
      <c r="W20" s="3">
        <v>19.88555923403397</v>
      </c>
      <c r="X20" s="3">
        <v>17.902973084033427</v>
      </c>
      <c r="Y20" s="3">
        <v>15.995029672731016</v>
      </c>
      <c r="Z20" s="3">
        <v>14.142927051553256</v>
      </c>
      <c r="AA20" s="3">
        <v>12.330829622199699</v>
      </c>
      <c r="AB20" s="3">
        <v>10.545768962444388</v>
      </c>
      <c r="AC20" s="3">
        <v>8.7775313856068546</v>
      </c>
      <c r="AD20" s="3">
        <v>7.0185125931401586</v>
      </c>
      <c r="AE20" s="3">
        <v>5.2635142721013857</v>
      </c>
      <c r="AF20" s="3">
        <v>3.5094571612058147</v>
      </c>
      <c r="AG20" s="3">
        <v>1.7549915199274568</v>
      </c>
      <c r="AH20" s="3">
        <v>0</v>
      </c>
    </row>
    <row r="21" spans="1:34" x14ac:dyDescent="0.3">
      <c r="A21" s="11"/>
      <c r="B21" s="6" t="s">
        <v>17</v>
      </c>
      <c r="C21" s="6">
        <f>C19</f>
        <v>959753.08641975326</v>
      </c>
      <c r="F21" s="13">
        <v>11</v>
      </c>
      <c r="G21" s="13">
        <f t="shared" si="2"/>
        <v>3.0769230769230799E-2</v>
      </c>
      <c r="H21" s="3">
        <f t="shared" si="1"/>
        <v>100</v>
      </c>
      <c r="I21" s="3">
        <v>72.145578724054431</v>
      </c>
      <c r="J21" s="3">
        <v>66.706484451139104</v>
      </c>
      <c r="K21" s="3">
        <v>61.493893042475626</v>
      </c>
      <c r="L21" s="3">
        <v>56.572004162578679</v>
      </c>
      <c r="M21" s="3">
        <v>51.977627122072221</v>
      </c>
      <c r="N21" s="3">
        <v>47.724090419739611</v>
      </c>
      <c r="O21" s="3">
        <v>43.806686405257317</v>
      </c>
      <c r="P21" s="3">
        <v>40.208073621128221</v>
      </c>
      <c r="Q21" s="3">
        <v>36.902875303398687</v>
      </c>
      <c r="R21" s="3">
        <v>33.861244421650056</v>
      </c>
      <c r="S21" s="3">
        <v>31.051449301327306</v>
      </c>
      <c r="T21" s="3">
        <v>28.441651789774838</v>
      </c>
      <c r="U21" s="3">
        <v>26.001074848101773</v>
      </c>
      <c r="V21" s="3">
        <v>23.700737563286832</v>
      </c>
      <c r="W21" s="3">
        <v>21.513901165508877</v>
      </c>
      <c r="X21" s="3">
        <v>19.416333690856344</v>
      </c>
      <c r="Y21" s="3">
        <v>17.3864690037664</v>
      </c>
      <c r="Z21" s="3">
        <v>15.405509163953585</v>
      </c>
      <c r="AA21" s="3">
        <v>13.45749686235521</v>
      </c>
      <c r="AB21" s="3">
        <v>11.529365652007375</v>
      </c>
      <c r="AC21" s="3">
        <v>9.610959109528892</v>
      </c>
      <c r="AD21" s="3">
        <v>7.6949959247400059</v>
      </c>
      <c r="AE21" s="3">
        <v>5.7769475309241596</v>
      </c>
      <c r="AF21" s="3">
        <v>3.8547909123004982</v>
      </c>
      <c r="AG21" s="3">
        <v>1.9286052300269678</v>
      </c>
      <c r="AH21" s="3">
        <v>0</v>
      </c>
    </row>
    <row r="22" spans="1:34" x14ac:dyDescent="0.3">
      <c r="F22" s="13">
        <v>12</v>
      </c>
      <c r="G22" s="13">
        <f t="shared" si="2"/>
        <v>2.3846153846153878E-2</v>
      </c>
      <c r="H22" s="3">
        <f t="shared" si="1"/>
        <v>100</v>
      </c>
      <c r="I22" s="3">
        <v>72.604826880862319</v>
      </c>
      <c r="J22" s="3">
        <v>67.514422508401054</v>
      </c>
      <c r="K22" s="3">
        <v>62.602393472542417</v>
      </c>
      <c r="L22" s="3">
        <v>57.924287743814823</v>
      </c>
      <c r="M22" s="3">
        <v>53.51581938968959</v>
      </c>
      <c r="N22" s="3">
        <v>49.394337725141995</v>
      </c>
      <c r="O22" s="3">
        <v>45.561896765892286</v>
      </c>
      <c r="P22" s="3">
        <v>42.008833532978564</v>
      </c>
      <c r="Q22" s="3">
        <v>38.717179852355258</v>
      </c>
      <c r="R22" s="3">
        <v>35.663576418541275</v>
      </c>
      <c r="S22" s="3">
        <v>32.821588194714721</v>
      </c>
      <c r="T22" s="3">
        <v>30.163450683485944</v>
      </c>
      <c r="U22" s="3">
        <v>27.661336921862429</v>
      </c>
      <c r="V22" s="3">
        <v>25.288252773886903</v>
      </c>
      <c r="W22" s="3">
        <v>23.01866315010756</v>
      </c>
      <c r="X22" s="3">
        <v>20.828936560448966</v>
      </c>
      <c r="Y22" s="3">
        <v>18.697676572966685</v>
      </c>
      <c r="Z22" s="3">
        <v>16.605989216897424</v>
      </c>
      <c r="AA22" s="3">
        <v>14.537715873829017</v>
      </c>
      <c r="AB22" s="3">
        <v>12.479641501104318</v>
      </c>
      <c r="AC22" s="3">
        <v>10.421667847679958</v>
      </c>
      <c r="AD22" s="3">
        <v>8.3569212144004545</v>
      </c>
      <c r="AE22" s="3">
        <v>6.2817465328119768</v>
      </c>
      <c r="AF22" s="3">
        <v>4.1955287195815227</v>
      </c>
      <c r="AG22" s="3">
        <v>2.1002854079012097</v>
      </c>
      <c r="AH22" s="3">
        <v>0</v>
      </c>
    </row>
    <row r="23" spans="1:34" x14ac:dyDescent="0.3">
      <c r="F23" s="13">
        <v>13</v>
      </c>
      <c r="G23" s="13">
        <f t="shared" si="2"/>
        <v>1.6923076923076957E-2</v>
      </c>
      <c r="H23" s="3">
        <f t="shared" si="1"/>
        <v>100</v>
      </c>
      <c r="I23" s="3">
        <v>72.957380976332217</v>
      </c>
      <c r="J23" s="3">
        <v>68.139125276372695</v>
      </c>
      <c r="K23" s="3">
        <v>63.468490191015078</v>
      </c>
      <c r="L23" s="3">
        <v>58.994242993462855</v>
      </c>
      <c r="M23" s="3">
        <v>54.749931683820847</v>
      </c>
      <c r="N23" s="3">
        <v>50.754191351304414</v>
      </c>
      <c r="O23" s="3">
        <v>47.012490995673183</v>
      </c>
      <c r="P23" s="3">
        <v>43.519572893903721</v>
      </c>
      <c r="Q23" s="3">
        <v>40.262034357383634</v>
      </c>
      <c r="R23" s="3">
        <v>37.220716410467915</v>
      </c>
      <c r="S23" s="3">
        <v>34.37273767549614</v>
      </c>
      <c r="T23" s="3">
        <v>31.693130385008416</v>
      </c>
      <c r="U23" s="3">
        <v>29.156105539738277</v>
      </c>
      <c r="V23" s="3">
        <v>26.736008884946319</v>
      </c>
      <c r="W23" s="3">
        <v>24.408041154640699</v>
      </c>
      <c r="X23" s="3">
        <v>22.148814387755372</v>
      </c>
      <c r="Y23" s="3">
        <v>19.936807049295027</v>
      </c>
      <c r="Z23" s="3">
        <v>17.752767284707215</v>
      </c>
      <c r="AA23" s="3">
        <v>15.580096886902838</v>
      </c>
      <c r="AB23" s="3">
        <v>13.405228196848494</v>
      </c>
      <c r="AC23" s="3">
        <v>11.217981604746617</v>
      </c>
      <c r="AD23" s="3">
        <v>9.0118628395594769</v>
      </c>
      <c r="AE23" s="3">
        <v>6.7842294954878355</v>
      </c>
      <c r="AF23" s="3">
        <v>4.5362320836263095</v>
      </c>
      <c r="AG23" s="3">
        <v>2.2724286102555062</v>
      </c>
      <c r="AH23" s="3">
        <v>0</v>
      </c>
    </row>
    <row r="24" spans="1:34" x14ac:dyDescent="0.3">
      <c r="A24" s="12" t="s">
        <v>22</v>
      </c>
      <c r="B24" s="7" t="s">
        <v>14</v>
      </c>
      <c r="C24" s="7">
        <f>C11/(C4^2)</f>
        <v>959753.08641975326</v>
      </c>
      <c r="F24" s="13">
        <v>14</v>
      </c>
      <c r="G24" s="13">
        <f t="shared" si="2"/>
        <v>1.0000000000000035E-2</v>
      </c>
      <c r="H24" s="3">
        <f t="shared" si="1"/>
        <v>100</v>
      </c>
      <c r="I24" s="3">
        <v>73.221166859595044</v>
      </c>
      <c r="J24" s="3">
        <v>68.609886232761667</v>
      </c>
      <c r="K24" s="3">
        <v>64.12822022842667</v>
      </c>
      <c r="L24" s="3">
        <v>59.820251113219534</v>
      </c>
      <c r="M24" s="3">
        <v>55.717302024289189</v>
      </c>
      <c r="N24" s="3">
        <v>51.837789545132345</v>
      </c>
      <c r="O24" s="3">
        <v>48.188352357890331</v>
      </c>
      <c r="P24" s="3">
        <v>44.765692097192414</v>
      </c>
      <c r="Q24" s="3">
        <v>41.558667753243981</v>
      </c>
      <c r="R24" s="3">
        <v>38.550333272526004</v>
      </c>
      <c r="S24" s="3">
        <v>35.719744955836987</v>
      </c>
      <c r="T24" s="3">
        <v>33.043469288313879</v>
      </c>
      <c r="U24" s="3">
        <v>30.496790653301801</v>
      </c>
      <c r="V24" s="3">
        <v>28.054658239714737</v>
      </c>
      <c r="W24" s="3">
        <v>25.692430683831368</v>
      </c>
      <c r="X24" s="3">
        <v>23.386482822027425</v>
      </c>
      <c r="Y24" s="3">
        <v>21.114736333054051</v>
      </c>
      <c r="Z24" s="3">
        <v>18.857167555196529</v>
      </c>
      <c r="AA24" s="3">
        <v>16.596331766782448</v>
      </c>
      <c r="AB24" s="3">
        <v>14.317922466839518</v>
      </c>
      <c r="AC24" s="3">
        <v>12.011354601285227</v>
      </c>
      <c r="AD24" s="3">
        <v>9.6703207471059081</v>
      </c>
      <c r="AE24" s="3">
        <v>7.2932205122059663</v>
      </c>
      <c r="AF24" s="3">
        <v>4.8833140752621702</v>
      </c>
      <c r="AG24" s="3">
        <v>2.4484202086115698</v>
      </c>
      <c r="AH24" s="3">
        <v>0</v>
      </c>
    </row>
    <row r="25" spans="1:34" x14ac:dyDescent="0.3">
      <c r="A25" s="12"/>
      <c r="B25" s="7" t="s">
        <v>16</v>
      </c>
      <c r="C25" s="7">
        <f>2*C11/(C4^2)+C10*C9/C6</f>
        <v>5507506.1728395065</v>
      </c>
      <c r="F25" s="13">
        <v>15</v>
      </c>
      <c r="G25" s="13">
        <f t="shared" si="2"/>
        <v>3.0769230769231125E-3</v>
      </c>
      <c r="H25" s="3">
        <f t="shared" si="1"/>
        <v>100</v>
      </c>
      <c r="I25" s="3">
        <v>73.406548200585632</v>
      </c>
      <c r="J25" s="3">
        <v>68.944010442527727</v>
      </c>
      <c r="K25" s="3">
        <v>64.603526249443377</v>
      </c>
      <c r="L25" s="3">
        <v>60.426548574580693</v>
      </c>
      <c r="M25" s="3">
        <v>56.442505317634151</v>
      </c>
      <c r="N25" s="3">
        <v>52.668660866291859</v>
      </c>
      <c r="O25" s="3">
        <v>49.111151408556829</v>
      </c>
      <c r="P25" s="3">
        <v>45.766671177296345</v>
      </c>
      <c r="Q25" s="3">
        <v>42.624390037447732</v>
      </c>
      <c r="R25" s="3">
        <v>39.667820267171685</v>
      </c>
      <c r="S25" s="3">
        <v>36.876475129443236</v>
      </c>
      <c r="T25" s="3">
        <v>34.227256265288261</v>
      </c>
      <c r="U25" s="3">
        <v>31.695569978746409</v>
      </c>
      <c r="V25" s="3">
        <v>29.256210137246605</v>
      </c>
      <c r="W25" s="3">
        <v>26.884065243447363</v>
      </c>
      <c r="X25" s="3">
        <v>24.554715670317908</v>
      </c>
      <c r="Y25" s="3">
        <v>22.244988328729413</v>
      </c>
      <c r="Z25" s="3">
        <v>19.933531922942301</v>
      </c>
      <c r="AA25" s="3">
        <v>17.601465719067551</v>
      </c>
      <c r="AB25" s="3">
        <v>15.233135288258856</v>
      </c>
      <c r="AC25" s="3">
        <v>12.816974902068267</v>
      </c>
      <c r="AD25" s="3">
        <v>10.346422425541062</v>
      </c>
      <c r="AE25" s="3">
        <v>7.8207555909293243</v>
      </c>
      <c r="AF25" s="3">
        <v>5.2456245441641354</v>
      </c>
      <c r="AG25" s="3">
        <v>2.6329703308959873</v>
      </c>
      <c r="AH25" s="3">
        <v>0</v>
      </c>
    </row>
    <row r="26" spans="1:34" x14ac:dyDescent="0.3">
      <c r="A26" s="12"/>
      <c r="B26" s="7" t="s">
        <v>17</v>
      </c>
      <c r="C26" s="7">
        <f>C24</f>
        <v>959753.08641975326</v>
      </c>
      <c r="F26" s="13">
        <v>16</v>
      </c>
      <c r="G26" s="13">
        <f t="shared" si="2"/>
        <v>-3.8461538461538099E-3</v>
      </c>
      <c r="H26" s="3">
        <f t="shared" si="1"/>
        <v>100</v>
      </c>
      <c r="I26" s="3">
        <v>73.517798833541363</v>
      </c>
      <c r="J26" s="3">
        <v>69.14896213216403</v>
      </c>
      <c r="K26" s="3">
        <v>64.904490873039421</v>
      </c>
      <c r="L26" s="3">
        <v>60.825132534275689</v>
      </c>
      <c r="M26" s="3">
        <v>56.938734876472019</v>
      </c>
      <c r="N26" s="3">
        <v>53.260559660680407</v>
      </c>
      <c r="O26" s="3">
        <v>49.79471293110484</v>
      </c>
      <c r="P26" s="3">
        <v>46.536083929444061</v>
      </c>
      <c r="Q26" s="3">
        <v>43.472368774339408</v>
      </c>
      <c r="R26" s="3">
        <v>40.585930173361533</v>
      </c>
      <c r="S26" s="3">
        <v>37.855377520219577</v>
      </c>
      <c r="T26" s="3">
        <v>35.256840069030211</v>
      </c>
      <c r="U26" s="3">
        <v>32.764958651849284</v>
      </c>
      <c r="V26" s="3">
        <v>30.353650083847782</v>
      </c>
      <c r="W26" s="3">
        <v>27.996712747965578</v>
      </c>
      <c r="X26" s="3">
        <v>25.668348758485546</v>
      </c>
      <c r="Y26" s="3">
        <v>23.343681503198134</v>
      </c>
      <c r="Z26" s="3">
        <v>20.999348311278084</v>
      </c>
      <c r="AA26" s="3">
        <v>18.614244491015516</v>
      </c>
      <c r="AB26" s="3">
        <v>16.170481468531882</v>
      </c>
      <c r="AC26" s="3">
        <v>13.654588556166065</v>
      </c>
      <c r="AD26" s="3">
        <v>11.058921481731035</v>
      </c>
      <c r="AE26" s="3">
        <v>8.3831269919427562</v>
      </c>
      <c r="AF26" s="3">
        <v>5.6353460575193228</v>
      </c>
      <c r="AG26" s="3">
        <v>2.8326419484464438</v>
      </c>
      <c r="AH26" s="3">
        <v>0</v>
      </c>
    </row>
    <row r="27" spans="1:34" x14ac:dyDescent="0.3">
      <c r="F27" s="13">
        <v>17</v>
      </c>
      <c r="G27" s="13">
        <f t="shared" si="2"/>
        <v>-1.0769230769230732E-2</v>
      </c>
      <c r="H27" s="3">
        <f t="shared" si="1"/>
        <v>100</v>
      </c>
      <c r="I27" s="3">
        <v>73.553428154991508</v>
      </c>
      <c r="J27" s="3">
        <v>69.22291086736216</v>
      </c>
      <c r="K27" s="3">
        <v>65.030010193244891</v>
      </c>
      <c r="L27" s="3">
        <v>61.01645273709989</v>
      </c>
      <c r="M27" s="3">
        <v>57.208419433881602</v>
      </c>
      <c r="N27" s="3">
        <v>53.617947406160894</v>
      </c>
      <c r="O27" s="3">
        <v>50.245335045895608</v>
      </c>
      <c r="P27" s="3">
        <v>47.08175511805495</v>
      </c>
      <c r="Q27" s="3">
        <v>44.111641596884489</v>
      </c>
      <c r="R27" s="3">
        <v>41.314668393725796</v>
      </c>
      <c r="S27" s="3">
        <v>38.667287097200074</v>
      </c>
      <c r="T27" s="3">
        <v>36.14386663960493</v>
      </c>
      <c r="U27" s="3">
        <v>33.717510090729654</v>
      </c>
      <c r="V27" s="3">
        <v>31.360634153624531</v>
      </c>
      <c r="W27" s="3">
        <v>29.045398999658453</v>
      </c>
      <c r="X27" s="3">
        <v>26.744077536764653</v>
      </c>
      <c r="Y27" s="3">
        <v>24.429457723352531</v>
      </c>
      <c r="Z27" s="3">
        <v>22.075379656793132</v>
      </c>
      <c r="AA27" s="3">
        <v>19.657518025882293</v>
      </c>
      <c r="AB27" s="3">
        <v>17.154522409566557</v>
      </c>
      <c r="AC27" s="3">
        <v>14.549607726179328</v>
      </c>
      <c r="AD27" s="3">
        <v>11.832619633202958</v>
      </c>
      <c r="AE27" s="3">
        <v>9.0024491404108797</v>
      </c>
      <c r="AF27" s="3">
        <v>6.0693997031265354</v>
      </c>
      <c r="AG27" s="3">
        <v>3.0567101946999164</v>
      </c>
      <c r="AH27" s="3">
        <v>0</v>
      </c>
    </row>
    <row r="28" spans="1:34" x14ac:dyDescent="0.3">
      <c r="F28" s="13">
        <v>18</v>
      </c>
      <c r="G28" s="13">
        <f t="shared" si="2"/>
        <v>-1.7692307692307653E-2</v>
      </c>
      <c r="H28" s="3">
        <f t="shared" si="1"/>
        <v>100</v>
      </c>
      <c r="I28" s="3">
        <v>73.505407395666978</v>
      </c>
      <c r="J28" s="3">
        <v>69.15376326060715</v>
      </c>
      <c r="K28" s="3">
        <v>64.967008147250709</v>
      </c>
      <c r="L28" s="3">
        <v>60.988978858558468</v>
      </c>
      <c r="M28" s="3">
        <v>57.243135676685235</v>
      </c>
      <c r="N28" s="3">
        <v>53.73614808825338</v>
      </c>
      <c r="O28" s="3">
        <v>50.462062603113516</v>
      </c>
      <c r="P28" s="3">
        <v>47.406045825892846</v>
      </c>
      <c r="Q28" s="3">
        <v>44.547340942854412</v>
      </c>
      <c r="R28" s="3">
        <v>41.861417082945067</v>
      </c>
      <c r="S28" s="3">
        <v>39.32143341566735</v>
      </c>
      <c r="T28" s="3">
        <v>36.899176166344894</v>
      </c>
      <c r="U28" s="3">
        <v>34.565617334266115</v>
      </c>
      <c r="V28" s="3">
        <v>32.29122199335972</v>
      </c>
      <c r="W28" s="3">
        <v>30.04611270001628</v>
      </c>
      <c r="X28" s="3">
        <v>27.800191648897531</v>
      </c>
      <c r="Y28" s="3">
        <v>25.523326388610709</v>
      </c>
      <c r="Z28" s="3">
        <v>23.185723419062843</v>
      </c>
      <c r="AA28" s="3">
        <v>20.758643522352433</v>
      </c>
      <c r="AB28" s="3">
        <v>18.215645592144526</v>
      </c>
      <c r="AC28" s="3">
        <v>15.534563409891993</v>
      </c>
      <c r="AD28" s="3">
        <v>12.700383705085974</v>
      </c>
      <c r="AE28" s="3">
        <v>9.7090347568691548</v>
      </c>
      <c r="AF28" s="3">
        <v>6.5717088650742186</v>
      </c>
      <c r="AG28" s="3">
        <v>3.3186173853130811</v>
      </c>
      <c r="AH28" s="3">
        <v>0</v>
      </c>
    </row>
    <row r="29" spans="1:34" x14ac:dyDescent="0.3">
      <c r="F29" s="13">
        <v>19</v>
      </c>
      <c r="G29" s="13">
        <f t="shared" si="2"/>
        <v>-2.4615384615384574E-2</v>
      </c>
      <c r="H29" s="3">
        <f t="shared" si="1"/>
        <v>100</v>
      </c>
      <c r="I29" s="3">
        <v>73.35693745602704</v>
      </c>
      <c r="J29" s="3">
        <v>68.916341965527025</v>
      </c>
      <c r="K29" s="3">
        <v>64.688020129419968</v>
      </c>
      <c r="L29" s="3">
        <v>60.717633289854959</v>
      </c>
      <c r="M29" s="3">
        <v>57.022901139689935</v>
      </c>
      <c r="N29" s="3">
        <v>53.601291491233241</v>
      </c>
      <c r="O29" s="3">
        <v>50.437016484479273</v>
      </c>
      <c r="P29" s="3">
        <v>47.506339272230122</v>
      </c>
      <c r="Q29" s="3">
        <v>44.781172657442312</v>
      </c>
      <c r="R29" s="3">
        <v>42.231306819542979</v>
      </c>
      <c r="S29" s="3">
        <v>39.825655197401041</v>
      </c>
      <c r="T29" s="3">
        <v>37.532844341611153</v>
      </c>
      <c r="U29" s="3">
        <v>35.321387223895215</v>
      </c>
      <c r="V29" s="3">
        <v>33.159607270257098</v>
      </c>
      <c r="W29" s="3">
        <v>31.015433410483482</v>
      </c>
      <c r="X29" s="3">
        <v>28.856166064342254</v>
      </c>
      <c r="Y29" s="3">
        <v>26.648319608121795</v>
      </c>
      <c r="Z29" s="3">
        <v>24.357678835219364</v>
      </c>
      <c r="AA29" s="3">
        <v>21.949766258050222</v>
      </c>
      <c r="AB29" s="3">
        <v>19.391001833725987</v>
      </c>
      <c r="AC29" s="3">
        <v>16.650932898584877</v>
      </c>
      <c r="AD29" s="3">
        <v>13.705975719545979</v>
      </c>
      <c r="AE29" s="3">
        <v>10.545035360530317</v>
      </c>
      <c r="AF29" s="3">
        <v>7.1769461835161161</v>
      </c>
      <c r="AG29" s="3">
        <v>3.6385537281114928</v>
      </c>
      <c r="AH29" s="3">
        <v>0</v>
      </c>
    </row>
    <row r="30" spans="1:34" x14ac:dyDescent="0.3">
      <c r="F30" s="13">
        <v>20</v>
      </c>
      <c r="G30" s="13">
        <f t="shared" si="2"/>
        <v>-3.1538461538461494E-2</v>
      </c>
      <c r="H30" s="3">
        <f t="shared" si="1"/>
        <v>100</v>
      </c>
      <c r="I30" s="3">
        <v>73.077753486440571</v>
      </c>
      <c r="J30" s="3">
        <v>68.466810103645102</v>
      </c>
      <c r="K30" s="3">
        <v>64.146689167026508</v>
      </c>
      <c r="L30" s="3">
        <v>60.16103211773639</v>
      </c>
      <c r="M30" s="3">
        <v>56.515016041598194</v>
      </c>
      <c r="N30" s="3">
        <v>53.190284459965248</v>
      </c>
      <c r="O30" s="3">
        <v>50.155998706552239</v>
      </c>
      <c r="P30" s="3">
        <v>47.375890175915799</v>
      </c>
      <c r="Q30" s="3">
        <v>44.812251436698972</v>
      </c>
      <c r="R30" s="3">
        <v>42.427889986305537</v>
      </c>
      <c r="S30" s="3">
        <v>40.186839937860825</v>
      </c>
      <c r="T30" s="3">
        <v>38.054363230803659</v>
      </c>
      <c r="U30" s="3">
        <v>35.99656417651147</v>
      </c>
      <c r="V30" s="3">
        <v>33.97980295584297</v>
      </c>
      <c r="W30" s="3">
        <v>31.970014429758688</v>
      </c>
      <c r="X30" s="3">
        <v>29.932005473191367</v>
      </c>
      <c r="Y30" s="3">
        <v>27.828809853520255</v>
      </c>
      <c r="Z30" s="3">
        <v>25.621225196410016</v>
      </c>
      <c r="AA30" s="3">
        <v>23.267750312167809</v>
      </c>
      <c r="AB30" s="3">
        <v>20.725296649991723</v>
      </c>
      <c r="AC30" s="3">
        <v>17.95127435632277</v>
      </c>
      <c r="AD30" s="3">
        <v>14.907931493232114</v>
      </c>
      <c r="AE30" s="3">
        <v>11.570045627944745</v>
      </c>
      <c r="AF30" s="3">
        <v>7.9369101687057952</v>
      </c>
      <c r="AG30" s="3">
        <v>4.0482850153781085</v>
      </c>
      <c r="AH30" s="3">
        <v>0</v>
      </c>
    </row>
    <row r="31" spans="1:34" x14ac:dyDescent="0.3">
      <c r="F31" s="13">
        <v>21</v>
      </c>
      <c r="G31" s="13">
        <f t="shared" si="2"/>
        <v>-3.8461538461538415E-2</v>
      </c>
      <c r="H31" s="3">
        <f t="shared" si="1"/>
        <v>100</v>
      </c>
      <c r="I31" s="3">
        <v>72.614627407610513</v>
      </c>
      <c r="J31" s="3">
        <v>67.7325316307912</v>
      </c>
      <c r="K31" s="3">
        <v>63.270426506978765</v>
      </c>
      <c r="L31" s="3">
        <v>59.257566228383311</v>
      </c>
      <c r="M31" s="3">
        <v>55.672846623826871</v>
      </c>
      <c r="N31" s="3">
        <v>52.471267667625128</v>
      </c>
      <c r="O31" s="3">
        <v>49.599752650685659</v>
      </c>
      <c r="P31" s="3">
        <v>47.005299381282164</v>
      </c>
      <c r="Q31" s="3">
        <v>44.638449298615967</v>
      </c>
      <c r="R31" s="3">
        <v>42.454195349420083</v>
      </c>
      <c r="S31" s="3">
        <v>40.411619117409316</v>
      </c>
      <c r="T31" s="3">
        <v>38.472963059777129</v>
      </c>
      <c r="U31" s="3">
        <v>36.602485194533465</v>
      </c>
      <c r="V31" s="3">
        <v>34.765243004992527</v>
      </c>
      <c r="W31" s="3">
        <v>32.925851871996109</v>
      </c>
      <c r="X31" s="3">
        <v>31.047223703037851</v>
      </c>
      <c r="Y31" s="3">
        <v>29.089296732649313</v>
      </c>
      <c r="Z31" s="3">
        <v>27.007819072103842</v>
      </c>
      <c r="AA31" s="3">
        <v>24.753366323139215</v>
      </c>
      <c r="AB31" s="3">
        <v>22.270998344758038</v>
      </c>
      <c r="AC31" s="3">
        <v>19.501354715887864</v>
      </c>
      <c r="AD31" s="3">
        <v>16.384621962680715</v>
      </c>
      <c r="AE31" s="3">
        <v>12.869686738067088</v>
      </c>
      <c r="AF31" s="3">
        <v>8.9316574095363741</v>
      </c>
      <c r="AG31" s="3">
        <v>4.6007338348828712</v>
      </c>
      <c r="AH31" s="3">
        <v>0</v>
      </c>
    </row>
    <row r="32" spans="1:34" x14ac:dyDescent="0.3">
      <c r="F32" s="13">
        <v>22</v>
      </c>
      <c r="G32" s="13">
        <f t="shared" si="2"/>
        <v>-4.5384615384615336E-2</v>
      </c>
      <c r="H32" s="3">
        <f t="shared" si="1"/>
        <v>100</v>
      </c>
      <c r="I32" s="3">
        <v>71.871628949038879</v>
      </c>
      <c r="J32" s="3">
        <v>66.594019291595245</v>
      </c>
      <c r="K32" s="3">
        <v>61.949330374687335</v>
      </c>
      <c r="L32" s="3">
        <v>57.920788769119035</v>
      </c>
      <c r="M32" s="3">
        <v>54.435445578967716</v>
      </c>
      <c r="N32" s="3">
        <v>51.405383770666987</v>
      </c>
      <c r="O32" s="3">
        <v>48.746468599042288</v>
      </c>
      <c r="P32" s="3">
        <v>46.384971055279436</v>
      </c>
      <c r="Q32" s="3">
        <v>44.25844271055324</v>
      </c>
      <c r="R32" s="3">
        <v>42.314243110985004</v>
      </c>
      <c r="S32" s="3">
        <v>40.50734187921158</v>
      </c>
      <c r="T32" s="3">
        <v>38.798072591329245</v>
      </c>
      <c r="U32" s="3">
        <v>37.150052999970413</v>
      </c>
      <c r="V32" s="3">
        <v>35.528276031103807</v>
      </c>
      <c r="W32" s="3">
        <v>33.897288814806153</v>
      </c>
      <c r="X32" s="3">
        <v>32.21934798019479</v>
      </c>
      <c r="Y32" s="3">
        <v>30.452442838581828</v>
      </c>
      <c r="Z32" s="3">
        <v>28.54811565655891</v>
      </c>
      <c r="AA32" s="3">
        <v>26.449110132068263</v>
      </c>
      <c r="AB32" s="3">
        <v>24.087117701712906</v>
      </c>
      <c r="AC32" s="3">
        <v>21.381408813953247</v>
      </c>
      <c r="AD32" s="3">
        <v>18.240183775137286</v>
      </c>
      <c r="AE32" s="3">
        <v>14.568431606156782</v>
      </c>
      <c r="AF32" s="3">
        <v>10.289312235863063</v>
      </c>
      <c r="AG32" s="3">
        <v>5.3902292494725454</v>
      </c>
      <c r="AH32" s="3">
        <v>0</v>
      </c>
    </row>
    <row r="33" spans="6:136" x14ac:dyDescent="0.3">
      <c r="F33" s="13">
        <v>23</v>
      </c>
      <c r="G33" s="13">
        <f t="shared" ref="G33:G37" si="3">G32-$C$5</f>
        <v>-5.2307692307692256E-2</v>
      </c>
      <c r="H33" s="3">
        <f t="shared" ref="H33:H37" si="4">$C$13</f>
        <v>100</v>
      </c>
      <c r="I33" s="3">
        <v>70.667019070223091</v>
      </c>
      <c r="J33" s="3">
        <v>64.853173822069564</v>
      </c>
      <c r="K33" s="3">
        <v>60.020980032426813</v>
      </c>
      <c r="L33" s="3">
        <v>56.035830336318035</v>
      </c>
      <c r="M33" s="3">
        <v>52.729911224160546</v>
      </c>
      <c r="N33" s="3">
        <v>49.951251346321008</v>
      </c>
      <c r="O33" s="3">
        <v>47.57636066769296</v>
      </c>
      <c r="P33" s="3">
        <v>45.508959579977088</v>
      </c>
      <c r="Q33" s="3">
        <v>43.67461449267018</v>
      </c>
      <c r="R33" s="3">
        <v>42.01505122157549</v>
      </c>
      <c r="S33" s="3">
        <v>40.483310993300918</v>
      </c>
      <c r="T33" s="3">
        <v>39.039897370656313</v>
      </c>
      <c r="U33" s="3">
        <v>37.649719918222416</v>
      </c>
      <c r="V33" s="3">
        <v>36.279556393974396</v>
      </c>
      <c r="W33" s="3">
        <v>34.895753267775873</v>
      </c>
      <c r="X33" s="3">
        <v>33.461894702714311</v>
      </c>
      <c r="Y33" s="3">
        <v>31.936169602060986</v>
      </c>
      <c r="Z33" s="3">
        <v>30.268156137720705</v>
      </c>
      <c r="AA33" s="3">
        <v>28.394750388121537</v>
      </c>
      <c r="AB33" s="3">
        <v>26.235069274894176</v>
      </c>
      <c r="AC33" s="3">
        <v>23.684556454419589</v>
      </c>
      <c r="AD33" s="3">
        <v>20.609678957511679</v>
      </c>
      <c r="AE33" s="3">
        <v>16.847543506708302</v>
      </c>
      <c r="AF33" s="3">
        <v>12.221530019116226</v>
      </c>
      <c r="AG33" s="3">
        <v>6.5981194881148326</v>
      </c>
      <c r="AH33" s="3">
        <v>0</v>
      </c>
    </row>
    <row r="34" spans="6:136" x14ac:dyDescent="0.3">
      <c r="F34" s="13">
        <v>24</v>
      </c>
      <c r="G34" s="13">
        <f t="shared" si="3"/>
        <v>-5.9230769230769177E-2</v>
      </c>
      <c r="H34" s="3">
        <f t="shared" si="4"/>
        <v>100</v>
      </c>
      <c r="I34" s="3">
        <v>68.633670030407032</v>
      </c>
      <c r="J34" s="3">
        <v>62.179092383033982</v>
      </c>
      <c r="K34" s="3">
        <v>57.253633207007475</v>
      </c>
      <c r="L34" s="3">
        <v>53.461625691994854</v>
      </c>
      <c r="M34" s="3">
        <v>50.480184071642597</v>
      </c>
      <c r="N34" s="3">
        <v>48.074268585003836</v>
      </c>
      <c r="O34" s="3">
        <v>46.079282274621775</v>
      </c>
      <c r="P34" s="3">
        <v>44.380515954114671</v>
      </c>
      <c r="Q34" s="3">
        <v>42.896815640908699</v>
      </c>
      <c r="R34" s="3">
        <v>41.569035188763188</v>
      </c>
      <c r="S34" s="3">
        <v>40.352180908697058</v>
      </c>
      <c r="T34" s="3">
        <v>39.210057349944357</v>
      </c>
      <c r="U34" s="3">
        <v>38.111481545100666</v>
      </c>
      <c r="V34" s="3">
        <v>37.02738910391551</v>
      </c>
      <c r="W34" s="3">
        <v>35.928326708715147</v>
      </c>
      <c r="X34" s="3">
        <v>34.781905408267491</v>
      </c>
      <c r="Y34" s="3">
        <v>33.549782965897137</v>
      </c>
      <c r="Z34" s="3">
        <v>32.183650321366329</v>
      </c>
      <c r="AA34" s="3">
        <v>30.619510306884084</v>
      </c>
      <c r="AB34" s="3">
        <v>28.769265178494287</v>
      </c>
      <c r="AC34" s="3">
        <v>26.508372377061654</v>
      </c>
      <c r="AD34" s="3">
        <v>23.658501058893684</v>
      </c>
      <c r="AE34" s="3">
        <v>19.966106177817529</v>
      </c>
      <c r="AF34" s="3">
        <v>15.085734941895257</v>
      </c>
      <c r="AG34" s="3">
        <v>8.602013220394408</v>
      </c>
      <c r="AH34" s="3">
        <v>0</v>
      </c>
    </row>
    <row r="35" spans="6:136" x14ac:dyDescent="0.3">
      <c r="F35" s="13">
        <v>25</v>
      </c>
      <c r="G35" s="13">
        <f t="shared" si="3"/>
        <v>-6.6153846153846105E-2</v>
      </c>
      <c r="H35" s="3">
        <f t="shared" si="4"/>
        <v>100</v>
      </c>
      <c r="I35" s="3">
        <v>64.975872392444543</v>
      </c>
      <c r="J35" s="3">
        <v>58.023667745810634</v>
      </c>
      <c r="K35" s="3">
        <v>53.340424066101519</v>
      </c>
      <c r="L35" s="3">
        <v>50.050380861091973</v>
      </c>
      <c r="M35" s="3">
        <v>47.628687234051831</v>
      </c>
      <c r="N35" s="3">
        <v>45.76341412775696</v>
      </c>
      <c r="O35" s="3">
        <v>44.266071392593112</v>
      </c>
      <c r="P35" s="3">
        <v>43.019207229412537</v>
      </c>
      <c r="Q35" s="3">
        <v>41.94663137430679</v>
      </c>
      <c r="R35" s="3">
        <v>40.996464067442517</v>
      </c>
      <c r="S35" s="3">
        <v>40.131282224733106</v>
      </c>
      <c r="T35" s="3">
        <v>39.322168427795035</v>
      </c>
      <c r="U35" s="3">
        <v>38.544886043863166</v>
      </c>
      <c r="V35" s="3">
        <v>37.777156926019707</v>
      </c>
      <c r="W35" s="3">
        <v>36.996394377211843</v>
      </c>
      <c r="X35" s="3">
        <v>36.17739561726637</v>
      </c>
      <c r="Y35" s="3">
        <v>35.289486940732409</v>
      </c>
      <c r="Z35" s="3">
        <v>34.292436347065085</v>
      </c>
      <c r="AA35" s="3">
        <v>33.130029124043332</v>
      </c>
      <c r="AB35" s="3">
        <v>31.719371732047058</v>
      </c>
      <c r="AC35" s="3">
        <v>29.932432767493523</v>
      </c>
      <c r="AD35" s="3">
        <v>27.563560447486243</v>
      </c>
      <c r="AE35" s="3">
        <v>24.272322426603075</v>
      </c>
      <c r="AF35" s="3">
        <v>19.486227361120417</v>
      </c>
      <c r="AG35" s="3">
        <v>12.252546693758465</v>
      </c>
      <c r="AH35" s="3">
        <v>0</v>
      </c>
    </row>
    <row r="36" spans="6:136" x14ac:dyDescent="0.3">
      <c r="F36" s="13">
        <v>26</v>
      </c>
      <c r="G36" s="13">
        <f t="shared" si="3"/>
        <v>-7.3076923076923025E-2</v>
      </c>
      <c r="H36" s="3">
        <f t="shared" si="4"/>
        <v>100</v>
      </c>
      <c r="I36" s="3">
        <v>57.844159160897405</v>
      </c>
      <c r="J36" s="3">
        <v>51.525012937953633</v>
      </c>
      <c r="K36" s="3">
        <v>47.946622349352971</v>
      </c>
      <c r="L36" s="3">
        <v>45.708237061083032</v>
      </c>
      <c r="M36" s="3">
        <v>44.179879019386419</v>
      </c>
      <c r="N36" s="3">
        <v>43.057407935199109</v>
      </c>
      <c r="O36" s="3">
        <v>42.182942409036912</v>
      </c>
      <c r="P36" s="3">
        <v>41.468420933940322</v>
      </c>
      <c r="Q36" s="3">
        <v>40.861145364870183</v>
      </c>
      <c r="R36" s="3">
        <v>40.327285408549855</v>
      </c>
      <c r="S36" s="3">
        <v>39.843468973605177</v>
      </c>
      <c r="T36" s="3">
        <v>39.392188925308744</v>
      </c>
      <c r="U36" s="3">
        <v>38.959070849303949</v>
      </c>
      <c r="V36" s="3">
        <v>38.531036142349649</v>
      </c>
      <c r="W36" s="3">
        <v>38.094819849333362</v>
      </c>
      <c r="X36" s="3">
        <v>37.635459190091154</v>
      </c>
      <c r="Y36" s="3">
        <v>37.134357999157508</v>
      </c>
      <c r="Z36" s="3">
        <v>36.566347757754855</v>
      </c>
      <c r="AA36" s="3">
        <v>35.894687805909953</v>
      </c>
      <c r="AB36" s="3">
        <v>35.061840399307108</v>
      </c>
      <c r="AC36" s="3">
        <v>33.971263715845446</v>
      </c>
      <c r="AD36" s="3">
        <v>32.449165920430076</v>
      </c>
      <c r="AE36" s="3">
        <v>30.159214627611689</v>
      </c>
      <c r="AF36" s="3">
        <v>26.401207961423086</v>
      </c>
      <c r="AG36" s="3">
        <v>19.610164212750835</v>
      </c>
      <c r="AH36" s="3">
        <v>0</v>
      </c>
    </row>
    <row r="37" spans="6:136" x14ac:dyDescent="0.3">
      <c r="F37" s="13">
        <v>27</v>
      </c>
      <c r="G37" s="13">
        <f t="shared" si="3"/>
        <v>-7.9999999999999946E-2</v>
      </c>
      <c r="H37" s="3">
        <f t="shared" si="4"/>
        <v>100</v>
      </c>
      <c r="I37" s="3">
        <v>50</v>
      </c>
      <c r="J37" s="3">
        <v>50</v>
      </c>
      <c r="K37" s="3">
        <v>50</v>
      </c>
      <c r="L37" s="3">
        <v>50</v>
      </c>
      <c r="M37" s="3">
        <v>50</v>
      </c>
      <c r="N37" s="3">
        <v>50</v>
      </c>
      <c r="O37" s="3">
        <v>50</v>
      </c>
      <c r="P37" s="3">
        <v>50</v>
      </c>
      <c r="Q37" s="3">
        <v>50</v>
      </c>
      <c r="R37" s="3">
        <v>50</v>
      </c>
      <c r="S37" s="3">
        <v>50</v>
      </c>
      <c r="T37" s="3">
        <v>50</v>
      </c>
      <c r="U37" s="3">
        <v>50</v>
      </c>
      <c r="V37" s="3">
        <v>50</v>
      </c>
      <c r="W37" s="3">
        <v>50</v>
      </c>
      <c r="X37" s="3">
        <v>50</v>
      </c>
      <c r="Y37" s="3">
        <v>50</v>
      </c>
      <c r="Z37" s="3">
        <v>50</v>
      </c>
      <c r="AA37" s="3">
        <v>50</v>
      </c>
      <c r="AB37" s="3">
        <v>50</v>
      </c>
      <c r="AC37" s="3">
        <v>50</v>
      </c>
      <c r="AD37" s="3">
        <v>50</v>
      </c>
      <c r="AE37" s="3">
        <v>50</v>
      </c>
      <c r="AF37" s="3">
        <v>50</v>
      </c>
      <c r="AG37" s="3">
        <v>50</v>
      </c>
      <c r="AH37" s="3">
        <v>0</v>
      </c>
    </row>
    <row r="38" spans="6:136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6:136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6:136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6:136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6:136" x14ac:dyDescent="0.3">
      <c r="G42" s="15" t="s">
        <v>26</v>
      </c>
      <c r="H42" s="14">
        <v>0</v>
      </c>
      <c r="I42" s="13">
        <f t="shared" ref="I42:AH42" si="5">H42+$C$4</f>
        <v>6.9230769230769224E-3</v>
      </c>
      <c r="J42" s="13">
        <f t="shared" si="5"/>
        <v>1.3846153846153845E-2</v>
      </c>
      <c r="K42" s="13">
        <f t="shared" si="5"/>
        <v>2.0769230769230769E-2</v>
      </c>
      <c r="L42" s="13">
        <f t="shared" si="5"/>
        <v>2.769230769230769E-2</v>
      </c>
      <c r="M42" s="13">
        <f t="shared" si="5"/>
        <v>3.461538461538461E-2</v>
      </c>
      <c r="N42" s="13">
        <f t="shared" si="5"/>
        <v>4.1538461538461531E-2</v>
      </c>
      <c r="O42" s="13">
        <f t="shared" si="5"/>
        <v>4.8461538461538452E-2</v>
      </c>
      <c r="P42" s="13">
        <f t="shared" si="5"/>
        <v>5.5384615384615372E-2</v>
      </c>
      <c r="Q42" s="13">
        <f t="shared" si="5"/>
        <v>6.2307692307692293E-2</v>
      </c>
      <c r="R42" s="13">
        <f t="shared" si="5"/>
        <v>6.9230769230769221E-2</v>
      </c>
      <c r="S42" s="13">
        <f t="shared" si="5"/>
        <v>7.6153846153846141E-2</v>
      </c>
      <c r="T42" s="13">
        <f t="shared" si="5"/>
        <v>8.3076923076923062E-2</v>
      </c>
      <c r="U42" s="13">
        <f t="shared" si="5"/>
        <v>8.9999999999999983E-2</v>
      </c>
      <c r="V42" s="13">
        <f t="shared" si="5"/>
        <v>9.6923076923076903E-2</v>
      </c>
      <c r="W42" s="13">
        <f t="shared" si="5"/>
        <v>0.10384615384615382</v>
      </c>
      <c r="X42" s="13">
        <f t="shared" si="5"/>
        <v>0.11076923076923074</v>
      </c>
      <c r="Y42" s="13">
        <f t="shared" si="5"/>
        <v>0.11769230769230767</v>
      </c>
      <c r="Z42" s="13">
        <f t="shared" si="5"/>
        <v>0.12461538461538459</v>
      </c>
      <c r="AA42" s="13">
        <f t="shared" si="5"/>
        <v>0.13153846153846152</v>
      </c>
      <c r="AB42" s="13">
        <f t="shared" si="5"/>
        <v>0.13846153846153844</v>
      </c>
      <c r="AC42" s="13">
        <f t="shared" si="5"/>
        <v>0.14538461538461536</v>
      </c>
      <c r="AD42" s="13">
        <f t="shared" si="5"/>
        <v>0.15230769230769228</v>
      </c>
      <c r="AE42" s="13">
        <f t="shared" si="5"/>
        <v>0.1592307692307692</v>
      </c>
      <c r="AF42" s="13">
        <f t="shared" si="5"/>
        <v>0.16615384615384612</v>
      </c>
      <c r="AG42" s="13">
        <f t="shared" si="5"/>
        <v>0.17307692307692304</v>
      </c>
      <c r="AH42" s="13">
        <f t="shared" si="5"/>
        <v>0.17999999999999997</v>
      </c>
      <c r="AI42"/>
      <c r="AJ42"/>
      <c r="AK42"/>
      <c r="AL42"/>
    </row>
    <row r="43" spans="6:136" x14ac:dyDescent="0.3">
      <c r="G43" s="16"/>
      <c r="H43" s="3">
        <f t="shared" ref="H43:H64" si="6">$C$13</f>
        <v>100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/>
      <c r="AJ43"/>
      <c r="AK43"/>
      <c r="AL43"/>
      <c r="AO43" s="17" t="s">
        <v>27</v>
      </c>
      <c r="AP43" s="3">
        <f>-$C$10*$C$9/$C$6*H11</f>
        <v>-358800000</v>
      </c>
      <c r="AQ43" s="3">
        <f t="shared" ref="AQ43:BP43" si="7">-$C$10*$C$9/$C$6*I11</f>
        <v>0</v>
      </c>
      <c r="AR43" s="3">
        <f t="shared" si="7"/>
        <v>0</v>
      </c>
      <c r="AS43" s="3">
        <f t="shared" si="7"/>
        <v>0</v>
      </c>
      <c r="AT43" s="3">
        <f t="shared" si="7"/>
        <v>0</v>
      </c>
      <c r="AU43" s="3">
        <f t="shared" si="7"/>
        <v>0</v>
      </c>
      <c r="AV43" s="3">
        <f t="shared" si="7"/>
        <v>0</v>
      </c>
      <c r="AW43" s="3">
        <f t="shared" si="7"/>
        <v>0</v>
      </c>
      <c r="AX43" s="3">
        <f t="shared" si="7"/>
        <v>0</v>
      </c>
      <c r="AY43" s="3">
        <f t="shared" si="7"/>
        <v>0</v>
      </c>
      <c r="AZ43" s="3">
        <f t="shared" si="7"/>
        <v>0</v>
      </c>
      <c r="BA43" s="3">
        <f t="shared" si="7"/>
        <v>0</v>
      </c>
      <c r="BB43" s="3">
        <f t="shared" si="7"/>
        <v>0</v>
      </c>
      <c r="BC43" s="3">
        <f t="shared" si="7"/>
        <v>0</v>
      </c>
      <c r="BD43" s="3">
        <f t="shared" si="7"/>
        <v>0</v>
      </c>
      <c r="BE43" s="3">
        <f t="shared" si="7"/>
        <v>0</v>
      </c>
      <c r="BF43" s="3">
        <f t="shared" si="7"/>
        <v>0</v>
      </c>
      <c r="BG43" s="3">
        <f t="shared" si="7"/>
        <v>0</v>
      </c>
      <c r="BH43" s="3">
        <f t="shared" si="7"/>
        <v>0</v>
      </c>
      <c r="BI43" s="3">
        <f t="shared" si="7"/>
        <v>0</v>
      </c>
      <c r="BJ43" s="3">
        <f t="shared" si="7"/>
        <v>0</v>
      </c>
      <c r="BK43" s="3">
        <f t="shared" si="7"/>
        <v>0</v>
      </c>
      <c r="BL43" s="3">
        <f t="shared" si="7"/>
        <v>0</v>
      </c>
      <c r="BM43" s="3">
        <f t="shared" si="7"/>
        <v>0</v>
      </c>
      <c r="BN43" s="3">
        <f t="shared" si="7"/>
        <v>0</v>
      </c>
      <c r="BO43" s="3">
        <f t="shared" si="7"/>
        <v>0</v>
      </c>
      <c r="BP43" s="3">
        <f t="shared" si="7"/>
        <v>0</v>
      </c>
      <c r="BW43" s="17" t="s">
        <v>28</v>
      </c>
      <c r="BX43" s="3">
        <v>1</v>
      </c>
      <c r="BY43" s="3">
        <v>1</v>
      </c>
      <c r="BZ43" s="3">
        <v>1</v>
      </c>
      <c r="CA43" s="3">
        <v>1</v>
      </c>
      <c r="CB43" s="3">
        <v>1</v>
      </c>
      <c r="CC43" s="3">
        <v>1</v>
      </c>
      <c r="CD43" s="3">
        <v>1</v>
      </c>
      <c r="CE43" s="3">
        <v>1</v>
      </c>
      <c r="CF43" s="3">
        <v>1</v>
      </c>
      <c r="CG43" s="3">
        <v>1</v>
      </c>
      <c r="CH43" s="3">
        <v>1</v>
      </c>
      <c r="CI43" s="3">
        <v>1</v>
      </c>
      <c r="CJ43" s="3">
        <v>1</v>
      </c>
      <c r="CK43" s="3">
        <v>1</v>
      </c>
      <c r="CL43" s="3">
        <v>1</v>
      </c>
      <c r="CM43" s="3">
        <v>1</v>
      </c>
      <c r="CN43" s="3">
        <v>1</v>
      </c>
      <c r="CO43" s="3">
        <v>1</v>
      </c>
      <c r="CP43" s="3">
        <v>1</v>
      </c>
      <c r="CQ43" s="3">
        <v>1</v>
      </c>
      <c r="CR43" s="3">
        <v>1</v>
      </c>
      <c r="CS43" s="3">
        <v>1</v>
      </c>
      <c r="CT43" s="3">
        <v>1</v>
      </c>
      <c r="CU43" s="3">
        <v>1</v>
      </c>
      <c r="CV43" s="3">
        <v>1</v>
      </c>
      <c r="CW43" s="3">
        <v>1</v>
      </c>
      <c r="CX43" s="3">
        <v>1</v>
      </c>
      <c r="DE43" s="17" t="s">
        <v>29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</row>
    <row r="44" spans="6:136" x14ac:dyDescent="0.3">
      <c r="G44" s="16"/>
      <c r="H44" s="3">
        <f t="shared" si="6"/>
        <v>100</v>
      </c>
      <c r="I44" s="3">
        <f t="shared" ref="I44:I68" si="8">J44*BY44+DG44</f>
        <v>38.969254777843716</v>
      </c>
      <c r="J44" s="3">
        <f t="shared" ref="J44:J68" si="9">K44*BZ44+DH44</f>
        <v>24.050470860880559</v>
      </c>
      <c r="K44" s="3">
        <f t="shared" ref="K44:K68" si="10">L44*CA44+DI44</f>
        <v>16.552664917640207</v>
      </c>
      <c r="L44" s="3">
        <f t="shared" ref="L44:L68" si="11">M44*CB44+DJ44</f>
        <v>12.357850333124903</v>
      </c>
      <c r="M44" s="3">
        <f t="shared" ref="M44:M68" si="12">N44*CC44+DK44</f>
        <v>9.7674688200118247</v>
      </c>
      <c r="N44" s="3">
        <f t="shared" ref="N44:N68" si="13">O44*CD44+DL44</f>
        <v>8.0287868508880393</v>
      </c>
      <c r="O44" s="3">
        <f t="shared" ref="O44:O68" si="14">P44*CE44+DM44</f>
        <v>6.7813289900828497</v>
      </c>
      <c r="P44" s="3">
        <f t="shared" ref="P44:P68" si="15">Q44*CF44+DN44</f>
        <v>5.8383730079803291</v>
      </c>
      <c r="Q44" s="3">
        <f t="shared" ref="Q44:Q68" si="16">R44*CG44+DO44</f>
        <v>5.095711124227428</v>
      </c>
      <c r="R44" s="3">
        <f t="shared" ref="R44:R68" si="17">S44*CH44+DP44</f>
        <v>4.4911444689800195</v>
      </c>
      <c r="S44" s="3">
        <f t="shared" ref="S44:S68" si="18">T44*CI44+DQ44</f>
        <v>3.9853195484020283</v>
      </c>
      <c r="T44" s="3">
        <f t="shared" ref="T44:T68" si="19">U44*CJ44+DR44</f>
        <v>3.5520746335942235</v>
      </c>
      <c r="U44" s="3">
        <f t="shared" ref="U44:U68" si="20">V44*CK44+DS44</f>
        <v>3.1732810367015185</v>
      </c>
      <c r="V44" s="3">
        <f t="shared" ref="V44:V68" si="21">W44*CL44+DT44</f>
        <v>2.8359351583589394</v>
      </c>
      <c r="W44" s="3">
        <f t="shared" ref="W44:W68" si="22">X44*CM44+DU44</f>
        <v>2.5304403830896369</v>
      </c>
      <c r="X44" s="3">
        <f t="shared" ref="X44:X68" si="23">Y44*CN44+DV44</f>
        <v>2.2495496085903142</v>
      </c>
      <c r="Y44" s="3">
        <f t="shared" ref="Y44:Y68" si="24">Z44*CO44+DW44</f>
        <v>1.9876906594744075</v>
      </c>
      <c r="Z44" s="3">
        <f t="shared" ref="Z44:Z68" si="25">AA44*CP44+DX44</f>
        <v>1.7405217822158772</v>
      </c>
      <c r="AA44" s="3">
        <f t="shared" ref="AA44:AA68" si="26">AB44*CQ44+DY44</f>
        <v>1.50462945216817</v>
      </c>
      <c r="AB44" s="3">
        <f t="shared" ref="AB44:AB68" si="27">AC44*CR44+DZ44</f>
        <v>1.2773160631404759</v>
      </c>
      <c r="AC44" s="3">
        <f t="shared" ref="AC44:AC68" si="28">AD44*CS44+EA44</f>
        <v>1.0564450610517255</v>
      </c>
      <c r="AD44" s="3">
        <f t="shared" ref="AD44:AD68" si="29">AE44*CT44+EB44</f>
        <v>0.84032283967773991</v>
      </c>
      <c r="AE44" s="3">
        <f t="shared" ref="AE44:AE68" si="30">AF44*CU44+EC44</f>
        <v>0.62760390980848213</v>
      </c>
      <c r="AF44" s="3">
        <f t="shared" ref="AF44:AF68" si="31">AG44*CV44+ED44</f>
        <v>0.41721044138316032</v>
      </c>
      <c r="AG44" s="3">
        <f t="shared" ref="AG44:AG68" si="32">AH44*CW44+EE44</f>
        <v>0.20826032675355627</v>
      </c>
      <c r="AH44" s="3">
        <v>0</v>
      </c>
      <c r="AI44"/>
      <c r="AJ44"/>
      <c r="AK44"/>
      <c r="AL44"/>
      <c r="AO44" s="17"/>
      <c r="AP44" s="3">
        <f t="shared" ref="AP44:AP69" si="33">-$C$10*$C$9/$C$6*H12</f>
        <v>-358800000</v>
      </c>
      <c r="AQ44" s="3">
        <f t="shared" ref="AQ44:AQ69" si="34">-$C$10*$C$9/$C$6*I12</f>
        <v>-122497851.84892936</v>
      </c>
      <c r="AR44" s="3">
        <f t="shared" ref="AR44:AR69" si="35">-$C$10*$C$9/$C$6*J12</f>
        <v>-79170782.934305981</v>
      </c>
      <c r="AS44" s="3">
        <f t="shared" ref="AS44:AS69" si="36">-$C$10*$C$9/$C$6*K12</f>
        <v>-56220905.573538922</v>
      </c>
      <c r="AT44" s="3">
        <f t="shared" ref="AT44:AT69" si="37">-$C$10*$C$9/$C$6*L12</f>
        <v>-42800107.40301995</v>
      </c>
      <c r="AU44" s="3">
        <f t="shared" ref="AU44:AU69" si="38">-$C$10*$C$9/$C$6*M12</f>
        <v>-34228256.860156402</v>
      </c>
      <c r="AV44" s="3">
        <f t="shared" ref="AV44:AV69" si="39">-$C$10*$C$9/$C$6*N12</f>
        <v>-28335833.366903722</v>
      </c>
      <c r="AW44" s="3">
        <f t="shared" ref="AW44:AW69" si="40">-$C$10*$C$9/$C$6*O12</f>
        <v>-24039161.798511766</v>
      </c>
      <c r="AX44" s="3">
        <f t="shared" ref="AX44:AX69" si="41">-$C$10*$C$9/$C$6*P12</f>
        <v>-20755849.473550711</v>
      </c>
      <c r="AY44" s="3">
        <f t="shared" ref="AY44:AY69" si="42">-$C$10*$C$9/$C$6*Q12</f>
        <v>-18150874.191950027</v>
      </c>
      <c r="AZ44" s="3">
        <f t="shared" ref="AZ44:AZ69" si="43">-$C$10*$C$9/$C$6*R12</f>
        <v>-16019458.670092897</v>
      </c>
      <c r="BA44" s="3">
        <f t="shared" ref="BA44:BA69" si="44">-$C$10*$C$9/$C$6*S12</f>
        <v>-14229667.65511618</v>
      </c>
      <c r="BB44" s="3">
        <f t="shared" ref="BB44:BB69" si="45">-$C$10*$C$9/$C$6*T12</f>
        <v>-12692583.964907434</v>
      </c>
      <c r="BC44" s="3">
        <f t="shared" ref="BC44:BC69" si="46">-$C$10*$C$9/$C$6*U12</f>
        <v>-11345952.783881508</v>
      </c>
      <c r="BD44" s="3">
        <f t="shared" ref="BD44:BD69" si="47">-$C$10*$C$9/$C$6*V12</f>
        <v>-10144766.153711425</v>
      </c>
      <c r="BE44" s="3">
        <f t="shared" ref="BE44:BE69" si="48">-$C$10*$C$9/$C$6*W12</f>
        <v>-9055606.3288483564</v>
      </c>
      <c r="BF44" s="3">
        <f t="shared" ref="BF44:BF69" si="49">-$C$10*$C$9/$C$6*X12</f>
        <v>-8053118.1424701139</v>
      </c>
      <c r="BG44" s="3">
        <f t="shared" ref="BG44:BG69" si="50">-$C$10*$C$9/$C$6*Y12</f>
        <v>-7117735.24438933</v>
      </c>
      <c r="BH44" s="3">
        <f t="shared" ref="BH44:BH69" si="51">-$C$10*$C$9/$C$6*Z12</f>
        <v>-6234169.4536008229</v>
      </c>
      <c r="BI44" s="3">
        <f t="shared" ref="BI44:BI69" si="52">-$C$10*$C$9/$C$6*AA12</f>
        <v>-5390376.8092572242</v>
      </c>
      <c r="BJ44" s="3">
        <f t="shared" ref="BJ44:BJ69" si="53">-$C$10*$C$9/$C$6*AB12</f>
        <v>-4576826.9337994661</v>
      </c>
      <c r="BK44" s="3">
        <f t="shared" ref="BK44:BK69" si="54">-$C$10*$C$9/$C$6*AC12</f>
        <v>-3785967.2221058644</v>
      </c>
      <c r="BL44" s="3">
        <f t="shared" ref="BL44:BL69" si="55">-$C$10*$C$9/$C$6*AD12</f>
        <v>-3011812.0292380825</v>
      </c>
      <c r="BM44" s="3">
        <f t="shared" ref="BM44:BM69" si="56">-$C$10*$C$9/$C$6*AE12</f>
        <v>-2249610.959594666</v>
      </c>
      <c r="BN44" s="3">
        <f t="shared" ref="BN44:BN69" si="57">-$C$10*$C$9/$C$6*AF12</f>
        <v>-1495565.8004225434</v>
      </c>
      <c r="BO44" s="3">
        <f t="shared" ref="BO44:BO69" si="58">-$C$10*$C$9/$C$6*AG12</f>
        <v>-746576.02634874813</v>
      </c>
      <c r="BP44" s="3">
        <f t="shared" ref="BP44:BP69" si="59">-$C$10*$C$9/$C$6*AH12</f>
        <v>0</v>
      </c>
      <c r="BW44" s="17"/>
      <c r="BX44" s="3">
        <f t="shared" ref="BX44:BX68" si="60">$C$19/($C$20-$C$21*BW44)</f>
        <v>0.17426273458445043</v>
      </c>
      <c r="BY44" s="3">
        <f t="shared" ref="BY44:CW44" si="61">$C$19/($C$20-$C$21*BX44)</f>
        <v>0.17972039376148968</v>
      </c>
      <c r="BZ44" s="3">
        <f t="shared" si="61"/>
        <v>0.17989684606081083</v>
      </c>
      <c r="CA44" s="3">
        <f t="shared" si="61"/>
        <v>0.179902556745832</v>
      </c>
      <c r="CB44" s="3">
        <f t="shared" si="61"/>
        <v>0.17990274157194241</v>
      </c>
      <c r="CC44" s="3">
        <f t="shared" si="61"/>
        <v>0.17990274755383903</v>
      </c>
      <c r="CD44" s="3">
        <f t="shared" si="61"/>
        <v>0.17990274774744311</v>
      </c>
      <c r="CE44" s="3">
        <f t="shared" si="61"/>
        <v>0.1799027477537091</v>
      </c>
      <c r="CF44" s="3">
        <f t="shared" si="61"/>
        <v>0.17990274775391188</v>
      </c>
      <c r="CG44" s="3">
        <f t="shared" si="61"/>
        <v>0.17990274775391843</v>
      </c>
      <c r="CH44" s="3">
        <f t="shared" si="61"/>
        <v>0.17990274775391865</v>
      </c>
      <c r="CI44" s="3">
        <f t="shared" si="61"/>
        <v>0.17990274775391865</v>
      </c>
      <c r="CJ44" s="3">
        <f t="shared" si="61"/>
        <v>0.17990274775391865</v>
      </c>
      <c r="CK44" s="3">
        <f t="shared" si="61"/>
        <v>0.17990274775391865</v>
      </c>
      <c r="CL44" s="3">
        <f t="shared" si="61"/>
        <v>0.17990274775391865</v>
      </c>
      <c r="CM44" s="3">
        <f t="shared" si="61"/>
        <v>0.17990274775391865</v>
      </c>
      <c r="CN44" s="3">
        <f t="shared" si="61"/>
        <v>0.17990274775391865</v>
      </c>
      <c r="CO44" s="3">
        <f t="shared" si="61"/>
        <v>0.17990274775391865</v>
      </c>
      <c r="CP44" s="3">
        <f t="shared" si="61"/>
        <v>0.17990274775391865</v>
      </c>
      <c r="CQ44" s="3">
        <f t="shared" si="61"/>
        <v>0.17990274775391865</v>
      </c>
      <c r="CR44" s="3">
        <f t="shared" si="61"/>
        <v>0.17990274775391865</v>
      </c>
      <c r="CS44" s="3">
        <f t="shared" si="61"/>
        <v>0.17990274775391865</v>
      </c>
      <c r="CT44" s="3">
        <f t="shared" si="61"/>
        <v>0.17990274775391865</v>
      </c>
      <c r="CU44" s="3">
        <f t="shared" si="61"/>
        <v>0.17990274775391865</v>
      </c>
      <c r="CV44" s="3">
        <f t="shared" si="61"/>
        <v>0.17990274775391865</v>
      </c>
      <c r="CW44" s="3">
        <f t="shared" si="61"/>
        <v>0.17990274775391865</v>
      </c>
      <c r="CX44" s="3">
        <v>0</v>
      </c>
      <c r="DE44" s="17"/>
      <c r="DF44" s="3">
        <f t="shared" ref="DF44:DG69" si="62">(DE44*$C$21-AP44)/($C$20-$C$21*BW44)</f>
        <v>65.147453083109909</v>
      </c>
      <c r="DG44" s="3">
        <f t="shared" si="62"/>
        <v>34.646894684577028</v>
      </c>
      <c r="DH44" s="3">
        <f t="shared" ref="DH44:DH68" si="63">(DG44*$C$21-AR44)/($C$20-$C$21*BY44)</f>
        <v>21.072698648295656</v>
      </c>
      <c r="DI44" s="3">
        <f t="shared" ref="DI44:DI68" si="64">(DH44*$C$21-AS44)/($C$20-$C$21*BZ44)</f>
        <v>14.329456046828705</v>
      </c>
      <c r="DJ44" s="3">
        <f t="shared" ref="DJ44:DJ68" si="65">(DI44*$C$21-AT44)/($C$20-$C$21*CA44)</f>
        <v>10.60065591418631</v>
      </c>
      <c r="DK44" s="3">
        <f t="shared" ref="DK44:DK68" si="66">(DJ44*$C$21-AU44)/($C$20-$C$21*CB44)</f>
        <v>8.3230680060129316</v>
      </c>
      <c r="DL44" s="3">
        <f t="shared" ref="DL44:DL68" si="67">(DK44*$C$21-AV44)/($C$20-$C$21*CC44)</f>
        <v>6.8088071321927419</v>
      </c>
      <c r="DM44" s="3">
        <f t="shared" ref="DM44:DM68" si="68">(DL44*$C$21-AW44)/($C$20-$C$21*CD44)</f>
        <v>5.730989643536101</v>
      </c>
      <c r="DN44" s="3">
        <f t="shared" ref="DN44:DN68" si="69">(DM44*$C$21-AX44)/($C$20-$C$21*CE44)</f>
        <v>4.9216405749716392</v>
      </c>
      <c r="DO44" s="3">
        <f t="shared" ref="DO44:DO68" si="70">(DN44*$C$21-AY44)/($C$20-$C$21*CF44)</f>
        <v>4.2877418936981098</v>
      </c>
      <c r="DP44" s="3">
        <f t="shared" ref="DP44:DP68" si="71">(DO44*$C$21-AZ44)/($C$20-$C$21*CG44)</f>
        <v>3.7741745315450883</v>
      </c>
      <c r="DQ44" s="3">
        <f t="shared" ref="DQ44:DQ68" si="72">(DP44*$C$21-BA44)/($C$20-$C$21*CH44)</f>
        <v>3.3462915615914337</v>
      </c>
      <c r="DR44" s="3">
        <f t="shared" ref="DR44:DR68" si="73">(DQ44*$C$21-BB44)/($C$20-$C$21*CI44)</f>
        <v>2.9811926556962165</v>
      </c>
      <c r="DS44" s="3">
        <f t="shared" ref="DS44:DS68" si="74">(DR44*$C$21-BC44)/($C$20-$C$21*CJ44)</f>
        <v>2.6630885092608008</v>
      </c>
      <c r="DT44" s="3">
        <f t="shared" ref="DT44:DT68" si="75">(DS44*$C$21-BD44)/($C$20-$C$21*CK44)</f>
        <v>2.3807019804136353</v>
      </c>
      <c r="DU44" s="3">
        <f t="shared" ref="DU44:DU68" si="76">(DT44*$C$21-BE44)/($C$20-$C$21*CL44)</f>
        <v>2.1257402272954873</v>
      </c>
      <c r="DV44" s="3">
        <f t="shared" ref="DV44:DV68" si="77">(DU44*$C$21-BF44)/($C$20-$C$21*CM44)</f>
        <v>1.8919585972660697</v>
      </c>
      <c r="DW44" s="3">
        <f t="shared" ref="DW44:DW68" si="78">(DV44*$C$21-BG44)/($C$20-$C$21*CN44)</f>
        <v>1.6745660083282237</v>
      </c>
      <c r="DX44" s="3">
        <f t="shared" ref="DX44:DX68" si="79">(DW44*$C$21-BH44)/($C$20-$C$21*CO44)</f>
        <v>1.4698348094193501</v>
      </c>
      <c r="DY44" s="3">
        <f t="shared" ref="DY44:DY68" si="80">(DX44*$C$21-BI44)/($C$20-$C$21*CP44)</f>
        <v>1.2748367826589806</v>
      </c>
      <c r="DZ44" s="3">
        <f t="shared" ref="DZ44:DZ68" si="81">(DY44*$C$21-BJ44)/($C$20-$C$21*CQ44)</f>
        <v>1.0872586938062141</v>
      </c>
      <c r="EA44" s="3">
        <f t="shared" ref="EA44:EA68" si="82">(DZ44*$C$21-BK44)/($C$20-$C$21*CR44)</f>
        <v>0.90526867319332438</v>
      </c>
      <c r="EB44" s="3">
        <f t="shared" ref="EB44:EB68" si="83">(EA44*$C$21-BL44)/($C$20-$C$21*CS44)</f>
        <v>0.72741517180209148</v>
      </c>
      <c r="EC44" s="3">
        <f t="shared" ref="EC44:EC68" si="84">(EB44*$C$21-BM44)/($C$20-$C$21*CT44)</f>
        <v>0.55254660501202635</v>
      </c>
      <c r="ED44" s="3">
        <f t="shared" ref="ED44:ED68" si="85">(EC44*$C$21-BN44)/($C$20-$C$21*CU44)</f>
        <v>0.3797438363520666</v>
      </c>
      <c r="EE44" s="3">
        <f t="shared" ref="EE44:EE68" si="86">(ED44*$C$21-BO44)/($C$20-$C$21*CV44)</f>
        <v>0.20826032675355627</v>
      </c>
      <c r="EF44" s="3">
        <v>0</v>
      </c>
    </row>
    <row r="45" spans="6:136" x14ac:dyDescent="0.3">
      <c r="G45" s="16"/>
      <c r="H45" s="3">
        <f t="shared" si="6"/>
        <v>100</v>
      </c>
      <c r="I45" s="3">
        <f t="shared" si="8"/>
        <v>52.297158198761593</v>
      </c>
      <c r="J45" s="3">
        <f t="shared" si="9"/>
        <v>38.057597398826651</v>
      </c>
      <c r="K45" s="3">
        <f t="shared" si="10"/>
        <v>28.860750234493196</v>
      </c>
      <c r="L45" s="3">
        <f t="shared" si="11"/>
        <v>22.756063504213419</v>
      </c>
      <c r="M45" s="3">
        <f t="shared" si="12"/>
        <v>18.540400421950558</v>
      </c>
      <c r="N45" s="3">
        <f t="shared" si="13"/>
        <v>15.503906249438483</v>
      </c>
      <c r="O45" s="3">
        <f t="shared" si="14"/>
        <v>13.227728991966929</v>
      </c>
      <c r="P45" s="3">
        <f t="shared" si="15"/>
        <v>11.459500297860133</v>
      </c>
      <c r="Q45" s="3">
        <f t="shared" si="16"/>
        <v>10.042383871321526</v>
      </c>
      <c r="R45" s="3">
        <f t="shared" si="17"/>
        <v>8.8754459043453728</v>
      </c>
      <c r="S45" s="3">
        <f t="shared" si="18"/>
        <v>7.891390602796017</v>
      </c>
      <c r="T45" s="3">
        <f t="shared" si="19"/>
        <v>7.0438124591487821</v>
      </c>
      <c r="U45" s="3">
        <f t="shared" si="20"/>
        <v>6.2997092510377595</v>
      </c>
      <c r="V45" s="3">
        <f t="shared" si="21"/>
        <v>5.6349596117867842</v>
      </c>
      <c r="W45" s="3">
        <f t="shared" si="22"/>
        <v>5.0315127681111198</v>
      </c>
      <c r="X45" s="3">
        <f t="shared" si="23"/>
        <v>4.4755936534524636</v>
      </c>
      <c r="Y45" s="3">
        <f t="shared" si="24"/>
        <v>3.9565260103881297</v>
      </c>
      <c r="Z45" s="3">
        <f t="shared" si="25"/>
        <v>3.4659405772286025</v>
      </c>
      <c r="AA45" s="3">
        <f t="shared" si="26"/>
        <v>2.9972279268101212</v>
      </c>
      <c r="AB45" s="3">
        <f t="shared" si="27"/>
        <v>2.5451488433957494</v>
      </c>
      <c r="AC45" s="3">
        <f t="shared" si="28"/>
        <v>2.1055467061654403</v>
      </c>
      <c r="AD45" s="3">
        <f t="shared" si="29"/>
        <v>1.6751256177766609</v>
      </c>
      <c r="AE45" s="3">
        <f t="shared" si="30"/>
        <v>1.2512701799478434</v>
      </c>
      <c r="AF45" s="3">
        <f t="shared" si="31"/>
        <v>0.83189080091172485</v>
      </c>
      <c r="AG45" s="3">
        <f t="shared" si="32"/>
        <v>0.41528387357136404</v>
      </c>
      <c r="AH45" s="3">
        <v>0</v>
      </c>
      <c r="AI45"/>
      <c r="AJ45"/>
      <c r="AK45"/>
      <c r="AL45"/>
      <c r="AO45" s="17"/>
      <c r="AP45" s="3">
        <f t="shared" si="33"/>
        <v>-358800000</v>
      </c>
      <c r="AQ45" s="3">
        <f t="shared" si="34"/>
        <v>-180228898.13426581</v>
      </c>
      <c r="AR45" s="3">
        <f t="shared" si="35"/>
        <v>-131710899.49129054</v>
      </c>
      <c r="AS45" s="3">
        <f t="shared" si="36"/>
        <v>-100584661.32107353</v>
      </c>
      <c r="AT45" s="3">
        <f t="shared" si="37"/>
        <v>-79835759.57661362</v>
      </c>
      <c r="AU45" s="3">
        <f t="shared" si="38"/>
        <v>-65391245.713415064</v>
      </c>
      <c r="AV45" s="3">
        <f t="shared" si="39"/>
        <v>-54898299.117117994</v>
      </c>
      <c r="AW45" s="3">
        <f t="shared" si="40"/>
        <v>-46973586.421745539</v>
      </c>
      <c r="AX45" s="3">
        <f t="shared" si="41"/>
        <v>-40779705.986243755</v>
      </c>
      <c r="AY45" s="3">
        <f t="shared" si="42"/>
        <v>-35791963.781580836</v>
      </c>
      <c r="AZ45" s="3">
        <f t="shared" si="43"/>
        <v>-31669577.70219516</v>
      </c>
      <c r="BA45" s="3">
        <f t="shared" si="44"/>
        <v>-28183325.109309752</v>
      </c>
      <c r="BB45" s="3">
        <f t="shared" si="45"/>
        <v>-25173888.714677867</v>
      </c>
      <c r="BC45" s="3">
        <f t="shared" si="46"/>
        <v>-22527196.960091632</v>
      </c>
      <c r="BD45" s="3">
        <f t="shared" si="47"/>
        <v>-20159399.539831419</v>
      </c>
      <c r="BE45" s="3">
        <f t="shared" si="48"/>
        <v>-18007452.927368104</v>
      </c>
      <c r="BF45" s="3">
        <f t="shared" si="49"/>
        <v>-16023061.714985682</v>
      </c>
      <c r="BG45" s="3">
        <f t="shared" si="50"/>
        <v>-14168679.436408415</v>
      </c>
      <c r="BH45" s="3">
        <f t="shared" si="51"/>
        <v>-12414802.320351917</v>
      </c>
      <c r="BI45" s="3">
        <f t="shared" si="52"/>
        <v>-10738089.684124352</v>
      </c>
      <c r="BJ45" s="3">
        <f t="shared" si="53"/>
        <v>-9120019.2624947038</v>
      </c>
      <c r="BK45" s="3">
        <f t="shared" si="54"/>
        <v>-7545890.0417593727</v>
      </c>
      <c r="BL45" s="3">
        <f t="shared" si="55"/>
        <v>-6004049.3131933836</v>
      </c>
      <c r="BM45" s="3">
        <f t="shared" si="56"/>
        <v>-4485261.4944115728</v>
      </c>
      <c r="BN45" s="3">
        <f t="shared" si="57"/>
        <v>-2982163.3245993154</v>
      </c>
      <c r="BO45" s="3">
        <f t="shared" si="58"/>
        <v>-1488768.7334357605</v>
      </c>
      <c r="BP45" s="3">
        <f t="shared" si="59"/>
        <v>0</v>
      </c>
      <c r="BW45" s="17"/>
      <c r="BX45" s="3">
        <f t="shared" si="60"/>
        <v>0.17426273458445043</v>
      </c>
      <c r="BY45" s="3">
        <f t="shared" ref="BY45:CW45" si="87">$C$19/($C$20-$C$21*BX45)</f>
        <v>0.17972039376148968</v>
      </c>
      <c r="BZ45" s="3">
        <f t="shared" si="87"/>
        <v>0.17989684606081083</v>
      </c>
      <c r="CA45" s="3">
        <f t="shared" si="87"/>
        <v>0.179902556745832</v>
      </c>
      <c r="CB45" s="3">
        <f t="shared" si="87"/>
        <v>0.17990274157194241</v>
      </c>
      <c r="CC45" s="3">
        <f t="shared" si="87"/>
        <v>0.17990274755383903</v>
      </c>
      <c r="CD45" s="3">
        <f t="shared" si="87"/>
        <v>0.17990274774744311</v>
      </c>
      <c r="CE45" s="3">
        <f t="shared" si="87"/>
        <v>0.1799027477537091</v>
      </c>
      <c r="CF45" s="3">
        <f t="shared" si="87"/>
        <v>0.17990274775391188</v>
      </c>
      <c r="CG45" s="3">
        <f t="shared" si="87"/>
        <v>0.17990274775391843</v>
      </c>
      <c r="CH45" s="3">
        <f t="shared" si="87"/>
        <v>0.17990274775391865</v>
      </c>
      <c r="CI45" s="3">
        <f t="shared" si="87"/>
        <v>0.17990274775391865</v>
      </c>
      <c r="CJ45" s="3">
        <f t="shared" si="87"/>
        <v>0.17990274775391865</v>
      </c>
      <c r="CK45" s="3">
        <f t="shared" si="87"/>
        <v>0.17990274775391865</v>
      </c>
      <c r="CL45" s="3">
        <f t="shared" si="87"/>
        <v>0.17990274775391865</v>
      </c>
      <c r="CM45" s="3">
        <f t="shared" si="87"/>
        <v>0.17990274775391865</v>
      </c>
      <c r="CN45" s="3">
        <f t="shared" si="87"/>
        <v>0.17990274775391865</v>
      </c>
      <c r="CO45" s="3">
        <f t="shared" si="87"/>
        <v>0.17990274775391865</v>
      </c>
      <c r="CP45" s="3">
        <f t="shared" si="87"/>
        <v>0.17990274775391865</v>
      </c>
      <c r="CQ45" s="3">
        <f t="shared" si="87"/>
        <v>0.17990274775391865</v>
      </c>
      <c r="CR45" s="3">
        <f t="shared" si="87"/>
        <v>0.17990274775391865</v>
      </c>
      <c r="CS45" s="3">
        <f t="shared" si="87"/>
        <v>0.17990274775391865</v>
      </c>
      <c r="CT45" s="3">
        <f t="shared" si="87"/>
        <v>0.17990274775391865</v>
      </c>
      <c r="CU45" s="3">
        <f t="shared" si="87"/>
        <v>0.17990274775391865</v>
      </c>
      <c r="CV45" s="3">
        <f t="shared" si="87"/>
        <v>0.17990274775391865</v>
      </c>
      <c r="CW45" s="3">
        <f t="shared" si="87"/>
        <v>0.17990274775391865</v>
      </c>
      <c r="CX45" s="3">
        <v>0</v>
      </c>
      <c r="DE45" s="17"/>
      <c r="DF45" s="3">
        <f t="shared" si="62"/>
        <v>65.147453083109909</v>
      </c>
      <c r="DG45" s="3">
        <f t="shared" si="62"/>
        <v>45.457431808628222</v>
      </c>
      <c r="DH45" s="3">
        <f t="shared" si="63"/>
        <v>32.86563945669252</v>
      </c>
      <c r="DI45" s="3">
        <f t="shared" si="64"/>
        <v>24.766876228614684</v>
      </c>
      <c r="DJ45" s="3">
        <f t="shared" si="65"/>
        <v>19.420594638462916</v>
      </c>
      <c r="DK45" s="3">
        <f t="shared" si="66"/>
        <v>15.75120508985944</v>
      </c>
      <c r="DL45" s="3">
        <f t="shared" si="67"/>
        <v>13.124201457325118</v>
      </c>
      <c r="DM45" s="3">
        <f t="shared" si="68"/>
        <v>11.166133400497444</v>
      </c>
      <c r="DN45" s="3">
        <f t="shared" si="69"/>
        <v>9.6528478454098234</v>
      </c>
      <c r="DO45" s="3">
        <f t="shared" si="70"/>
        <v>8.4456667655885322</v>
      </c>
      <c r="DP45" s="3">
        <f t="shared" si="71"/>
        <v>7.4557630513029167</v>
      </c>
      <c r="DQ45" s="3">
        <f t="shared" si="72"/>
        <v>6.6241893867318637</v>
      </c>
      <c r="DR45" s="3">
        <f t="shared" si="73"/>
        <v>5.9104774548363084</v>
      </c>
      <c r="DS45" s="3">
        <f t="shared" si="74"/>
        <v>5.2859645333949627</v>
      </c>
      <c r="DT45" s="3">
        <f t="shared" si="75"/>
        <v>4.7297766394446681</v>
      </c>
      <c r="DU45" s="3">
        <f t="shared" si="76"/>
        <v>4.2263411720250224</v>
      </c>
      <c r="DV45" s="3">
        <f t="shared" si="77"/>
        <v>3.7638037526237902</v>
      </c>
      <c r="DW45" s="3">
        <f t="shared" si="78"/>
        <v>3.3329937769929012</v>
      </c>
      <c r="DX45" s="3">
        <f t="shared" si="79"/>
        <v>2.9267310375506805</v>
      </c>
      <c r="DY45" s="3">
        <f t="shared" si="80"/>
        <v>2.5393486564405179</v>
      </c>
      <c r="DZ45" s="3">
        <f t="shared" si="81"/>
        <v>2.166355205432374</v>
      </c>
      <c r="EA45" s="3">
        <f t="shared" si="82"/>
        <v>1.8041870046944386</v>
      </c>
      <c r="EB45" s="3">
        <f t="shared" si="83"/>
        <v>1.4500186742215038</v>
      </c>
      <c r="EC45" s="3">
        <f t="shared" si="84"/>
        <v>1.101610739032616</v>
      </c>
      <c r="ED45" s="3">
        <f t="shared" si="85"/>
        <v>0.75718009095834549</v>
      </c>
      <c r="EE45" s="3">
        <f t="shared" si="86"/>
        <v>0.41528387357136404</v>
      </c>
      <c r="EF45" s="3">
        <v>0</v>
      </c>
    </row>
    <row r="46" spans="6:136" x14ac:dyDescent="0.3">
      <c r="G46" s="16"/>
      <c r="H46" s="3">
        <f t="shared" si="6"/>
        <v>100</v>
      </c>
      <c r="I46" s="3">
        <f t="shared" si="8"/>
        <v>59.552692012910988</v>
      </c>
      <c r="J46" s="3">
        <f t="shared" si="9"/>
        <v>47.158196017982405</v>
      </c>
      <c r="K46" s="3">
        <f t="shared" si="10"/>
        <v>37.945958392447146</v>
      </c>
      <c r="L46" s="3">
        <f t="shared" si="11"/>
        <v>31.138819036467744</v>
      </c>
      <c r="M46" s="3">
        <f t="shared" si="12"/>
        <v>26.04865794653815</v>
      </c>
      <c r="N46" s="3">
        <f t="shared" si="13"/>
        <v>22.164863013500941</v>
      </c>
      <c r="O46" s="3">
        <f t="shared" si="14"/>
        <v>19.131636604643525</v>
      </c>
      <c r="P46" s="3">
        <f t="shared" si="15"/>
        <v>16.705873029541728</v>
      </c>
      <c r="Q46" s="3">
        <f t="shared" si="16"/>
        <v>14.721248509938484</v>
      </c>
      <c r="R46" s="3">
        <f t="shared" si="17"/>
        <v>13.062560925974498</v>
      </c>
      <c r="S46" s="3">
        <f t="shared" si="18"/>
        <v>11.648568721194387</v>
      </c>
      <c r="T46" s="3">
        <f t="shared" si="19"/>
        <v>10.420795531175074</v>
      </c>
      <c r="U46" s="3">
        <f t="shared" si="20"/>
        <v>9.3362635199051329</v>
      </c>
      <c r="V46" s="3">
        <f t="shared" si="21"/>
        <v>8.3627512561902151</v>
      </c>
      <c r="W46" s="3">
        <f t="shared" si="22"/>
        <v>7.4756646262749671</v>
      </c>
      <c r="X46" s="3">
        <f t="shared" si="23"/>
        <v>6.6559425686582294</v>
      </c>
      <c r="Y46" s="3">
        <f t="shared" si="24"/>
        <v>5.8886324906412044</v>
      </c>
      <c r="Z46" s="3">
        <f t="shared" si="25"/>
        <v>5.1619033781121839</v>
      </c>
      <c r="AA46" s="3">
        <f t="shared" si="26"/>
        <v>4.4663473410128116</v>
      </c>
      <c r="AB46" s="3">
        <f t="shared" si="27"/>
        <v>3.7944719620742196</v>
      </c>
      <c r="AC46" s="3">
        <f t="shared" si="28"/>
        <v>3.1403184132911424</v>
      </c>
      <c r="AD46" s="3">
        <f t="shared" si="29"/>
        <v>2.4991612898003761</v>
      </c>
      <c r="AE46" s="3">
        <f t="shared" si="30"/>
        <v>1.8672600116451972</v>
      </c>
      <c r="AF46" s="3">
        <f t="shared" si="31"/>
        <v>1.2416412075234886</v>
      </c>
      <c r="AG46" s="3">
        <f t="shared" si="32"/>
        <v>0.61989835292132822</v>
      </c>
      <c r="AH46" s="3">
        <v>0</v>
      </c>
      <c r="AI46"/>
      <c r="AJ46"/>
      <c r="AK46"/>
      <c r="AL46"/>
      <c r="AO46" s="17"/>
      <c r="AP46" s="3">
        <f t="shared" si="33"/>
        <v>-358800000</v>
      </c>
      <c r="AQ46" s="3">
        <f t="shared" si="34"/>
        <v>-210240985.58306351</v>
      </c>
      <c r="AR46" s="3">
        <f t="shared" si="35"/>
        <v>-166149425.02071056</v>
      </c>
      <c r="AS46" s="3">
        <f t="shared" si="36"/>
        <v>-133841798.22475134</v>
      </c>
      <c r="AT46" s="3">
        <f t="shared" si="37"/>
        <v>-110078207.51268935</v>
      </c>
      <c r="AU46" s="3">
        <f t="shared" si="38"/>
        <v>-92304771.069749057</v>
      </c>
      <c r="AV46" s="3">
        <f t="shared" si="39"/>
        <v>-78711192.726148307</v>
      </c>
      <c r="AW46" s="3">
        <f t="shared" si="40"/>
        <v>-68061297.807878703</v>
      </c>
      <c r="AX46" s="3">
        <f t="shared" si="41"/>
        <v>-59517287.859940685</v>
      </c>
      <c r="AY46" s="3">
        <f t="shared" si="42"/>
        <v>-52507020.673701309</v>
      </c>
      <c r="AZ46" s="3">
        <f t="shared" si="43"/>
        <v>-46633621.456992127</v>
      </c>
      <c r="BA46" s="3">
        <f t="shared" si="44"/>
        <v>-41616340.297478735</v>
      </c>
      <c r="BB46" s="3">
        <f t="shared" si="45"/>
        <v>-37252338.202449054</v>
      </c>
      <c r="BC46" s="3">
        <f t="shared" si="46"/>
        <v>-33391961.96405014</v>
      </c>
      <c r="BD46" s="3">
        <f t="shared" si="47"/>
        <v>-29922604.238425486</v>
      </c>
      <c r="BE46" s="3">
        <f t="shared" si="48"/>
        <v>-26758031.322895739</v>
      </c>
      <c r="BF46" s="3">
        <f t="shared" si="49"/>
        <v>-23831219.37715954</v>
      </c>
      <c r="BG46" s="3">
        <f t="shared" si="50"/>
        <v>-21089465.669543639</v>
      </c>
      <c r="BH46" s="3">
        <f t="shared" si="51"/>
        <v>-18490990.865309723</v>
      </c>
      <c r="BI46" s="3">
        <f t="shared" si="52"/>
        <v>-16002526.67479571</v>
      </c>
      <c r="BJ46" s="3">
        <f t="shared" si="53"/>
        <v>-13597556.818733538</v>
      </c>
      <c r="BK46" s="3">
        <f t="shared" si="54"/>
        <v>-11254989.107601902</v>
      </c>
      <c r="BL46" s="3">
        <f t="shared" si="55"/>
        <v>-8958107.3816754948</v>
      </c>
      <c r="BM46" s="3">
        <f t="shared" si="56"/>
        <v>-6693699.2979389932</v>
      </c>
      <c r="BN46" s="3">
        <f t="shared" si="57"/>
        <v>-4451288.6980800834</v>
      </c>
      <c r="BO46" s="3">
        <f t="shared" si="58"/>
        <v>-2222425.0241006408</v>
      </c>
      <c r="BP46" s="3">
        <f t="shared" si="59"/>
        <v>0</v>
      </c>
      <c r="BW46" s="17"/>
      <c r="BX46" s="3">
        <f t="shared" si="60"/>
        <v>0.17426273458445043</v>
      </c>
      <c r="BY46" s="3">
        <f t="shared" ref="BY46:CW46" si="88">$C$19/($C$20-$C$21*BX46)</f>
        <v>0.17972039376148968</v>
      </c>
      <c r="BZ46" s="3">
        <f t="shared" si="88"/>
        <v>0.17989684606081083</v>
      </c>
      <c r="CA46" s="3">
        <f t="shared" si="88"/>
        <v>0.179902556745832</v>
      </c>
      <c r="CB46" s="3">
        <f t="shared" si="88"/>
        <v>0.17990274157194241</v>
      </c>
      <c r="CC46" s="3">
        <f t="shared" si="88"/>
        <v>0.17990274755383903</v>
      </c>
      <c r="CD46" s="3">
        <f t="shared" si="88"/>
        <v>0.17990274774744311</v>
      </c>
      <c r="CE46" s="3">
        <f t="shared" si="88"/>
        <v>0.1799027477537091</v>
      </c>
      <c r="CF46" s="3">
        <f t="shared" si="88"/>
        <v>0.17990274775391188</v>
      </c>
      <c r="CG46" s="3">
        <f t="shared" si="88"/>
        <v>0.17990274775391843</v>
      </c>
      <c r="CH46" s="3">
        <f t="shared" si="88"/>
        <v>0.17990274775391865</v>
      </c>
      <c r="CI46" s="3">
        <f t="shared" si="88"/>
        <v>0.17990274775391865</v>
      </c>
      <c r="CJ46" s="3">
        <f t="shared" si="88"/>
        <v>0.17990274775391865</v>
      </c>
      <c r="CK46" s="3">
        <f t="shared" si="88"/>
        <v>0.17990274775391865</v>
      </c>
      <c r="CL46" s="3">
        <f t="shared" si="88"/>
        <v>0.17990274775391865</v>
      </c>
      <c r="CM46" s="3">
        <f t="shared" si="88"/>
        <v>0.17990274775391865</v>
      </c>
      <c r="CN46" s="3">
        <f t="shared" si="88"/>
        <v>0.17990274775391865</v>
      </c>
      <c r="CO46" s="3">
        <f t="shared" si="88"/>
        <v>0.17990274775391865</v>
      </c>
      <c r="CP46" s="3">
        <f t="shared" si="88"/>
        <v>0.17990274775391865</v>
      </c>
      <c r="CQ46" s="3">
        <f t="shared" si="88"/>
        <v>0.17990274775391865</v>
      </c>
      <c r="CR46" s="3">
        <f t="shared" si="88"/>
        <v>0.17990274775391865</v>
      </c>
      <c r="CS46" s="3">
        <f t="shared" si="88"/>
        <v>0.17990274775391865</v>
      </c>
      <c r="CT46" s="3">
        <f t="shared" si="88"/>
        <v>0.17990274775391865</v>
      </c>
      <c r="CU46" s="3">
        <f t="shared" si="88"/>
        <v>0.17990274775391865</v>
      </c>
      <c r="CV46" s="3">
        <f t="shared" si="88"/>
        <v>0.17990274775391865</v>
      </c>
      <c r="CW46" s="3">
        <f t="shared" si="88"/>
        <v>0.17990274775391865</v>
      </c>
      <c r="CX46" s="3">
        <v>0</v>
      </c>
      <c r="DE46" s="17"/>
      <c r="DF46" s="3">
        <f t="shared" si="62"/>
        <v>65.147453083109909</v>
      </c>
      <c r="DG46" s="3">
        <f t="shared" si="62"/>
        <v>51.077402455477674</v>
      </c>
      <c r="DH46" s="3">
        <f t="shared" si="63"/>
        <v>40.331837782426412</v>
      </c>
      <c r="DI46" s="3">
        <f t="shared" si="64"/>
        <v>32.344005233740816</v>
      </c>
      <c r="DJ46" s="3">
        <f t="shared" si="65"/>
        <v>26.452594057615769</v>
      </c>
      <c r="DK46" s="3">
        <f t="shared" si="66"/>
        <v>22.061138191254866</v>
      </c>
      <c r="DL46" s="3">
        <f t="shared" si="67"/>
        <v>18.723029019420007</v>
      </c>
      <c r="DM46" s="3">
        <f t="shared" si="68"/>
        <v>16.126204143004387</v>
      </c>
      <c r="DN46" s="3">
        <f t="shared" si="69"/>
        <v>14.057479972235612</v>
      </c>
      <c r="DO46" s="3">
        <f t="shared" si="70"/>
        <v>12.371257906652701</v>
      </c>
      <c r="DP46" s="3">
        <f t="shared" si="71"/>
        <v>10.966951405631278</v>
      </c>
      <c r="DQ46" s="3">
        <f t="shared" si="72"/>
        <v>9.773838971354234</v>
      </c>
      <c r="DR46" s="3">
        <f t="shared" si="73"/>
        <v>8.7411760701894679</v>
      </c>
      <c r="DS46" s="3">
        <f t="shared" si="74"/>
        <v>7.8317815901339776</v>
      </c>
      <c r="DT46" s="3">
        <f t="shared" si="75"/>
        <v>7.0178586486365777</v>
      </c>
      <c r="DU46" s="3">
        <f t="shared" si="76"/>
        <v>6.2782422692810762</v>
      </c>
      <c r="DV46" s="3">
        <f t="shared" si="77"/>
        <v>5.5965614030788755</v>
      </c>
      <c r="DW46" s="3">
        <f t="shared" si="78"/>
        <v>4.9599918892785873</v>
      </c>
      <c r="DX46" s="3">
        <f t="shared" si="79"/>
        <v>4.3583952190405713</v>
      </c>
      <c r="DY46" s="3">
        <f t="shared" si="80"/>
        <v>3.7837114087604569</v>
      </c>
      <c r="DZ46" s="3">
        <f t="shared" si="81"/>
        <v>3.2295200507009172</v>
      </c>
      <c r="EA46" s="3">
        <f t="shared" si="82"/>
        <v>2.6907124301758274</v>
      </c>
      <c r="EB46" s="3">
        <f t="shared" si="83"/>
        <v>2.1632360829343908</v>
      </c>
      <c r="EC46" s="3">
        <f t="shared" si="84"/>
        <v>1.6438853466872281</v>
      </c>
      <c r="ED46" s="3">
        <f t="shared" si="85"/>
        <v>1.1301197905048133</v>
      </c>
      <c r="EE46" s="3">
        <f t="shared" si="86"/>
        <v>0.61989835292132822</v>
      </c>
      <c r="EF46" s="3">
        <v>0</v>
      </c>
    </row>
    <row r="47" spans="6:136" x14ac:dyDescent="0.3">
      <c r="G47" s="16"/>
      <c r="H47" s="3">
        <f t="shared" si="6"/>
        <v>100</v>
      </c>
      <c r="I47" s="3">
        <f t="shared" si="8"/>
        <v>63.862481713197859</v>
      </c>
      <c r="J47" s="3">
        <f t="shared" si="9"/>
        <v>53.251708690201511</v>
      </c>
      <c r="K47" s="3">
        <f t="shared" si="10"/>
        <v>44.630483948834261</v>
      </c>
      <c r="L47" s="3">
        <f t="shared" si="11"/>
        <v>37.762251527683269</v>
      </c>
      <c r="M47" s="3">
        <f t="shared" si="12"/>
        <v>32.304408282928719</v>
      </c>
      <c r="N47" s="3">
        <f t="shared" si="13"/>
        <v>27.936361779418384</v>
      </c>
      <c r="O47" s="3">
        <f t="shared" si="14"/>
        <v>24.397033073776925</v>
      </c>
      <c r="P47" s="3">
        <f t="shared" si="15"/>
        <v>21.485967669431901</v>
      </c>
      <c r="Q47" s="3">
        <f t="shared" si="16"/>
        <v>19.052982074042355</v>
      </c>
      <c r="R47" s="3">
        <f t="shared" si="17"/>
        <v>16.986300829401486</v>
      </c>
      <c r="S47" s="3">
        <f t="shared" si="18"/>
        <v>15.202452673987986</v>
      </c>
      <c r="T47" s="3">
        <f t="shared" si="19"/>
        <v>13.63854125203973</v>
      </c>
      <c r="U47" s="3">
        <f t="shared" si="20"/>
        <v>12.246611887057357</v>
      </c>
      <c r="V47" s="3">
        <f t="shared" si="21"/>
        <v>10.989635934059002</v>
      </c>
      <c r="W47" s="3">
        <f t="shared" si="22"/>
        <v>9.8386718657218317</v>
      </c>
      <c r="X47" s="3">
        <f t="shared" si="23"/>
        <v>8.7708585563503298</v>
      </c>
      <c r="Y47" s="3">
        <f t="shared" si="24"/>
        <v>7.7679891888200787</v>
      </c>
      <c r="Z47" s="3">
        <f t="shared" si="25"/>
        <v>6.8154874807447667</v>
      </c>
      <c r="AA47" s="3">
        <f t="shared" si="26"/>
        <v>5.9016611450080347</v>
      </c>
      <c r="AB47" s="3">
        <f t="shared" si="27"/>
        <v>5.0171447443477284</v>
      </c>
      <c r="AC47" s="3">
        <f t="shared" si="28"/>
        <v>4.1544698252479968</v>
      </c>
      <c r="AD47" s="3">
        <f t="shared" si="29"/>
        <v>3.3077180812103584</v>
      </c>
      <c r="AE47" s="3">
        <f t="shared" si="30"/>
        <v>2.4722259967386817</v>
      </c>
      <c r="AF47" s="3">
        <f t="shared" si="31"/>
        <v>1.644318821216735</v>
      </c>
      <c r="AG47" s="3">
        <f t="shared" si="32"/>
        <v>0.82105900070903082</v>
      </c>
      <c r="AH47" s="3">
        <v>0</v>
      </c>
      <c r="AI47"/>
      <c r="AJ47"/>
      <c r="AK47"/>
      <c r="AL47"/>
      <c r="AO47" s="17"/>
      <c r="AP47" s="3">
        <f t="shared" si="33"/>
        <v>-358800000</v>
      </c>
      <c r="AQ47" s="3">
        <f t="shared" si="34"/>
        <v>-227408102.4985469</v>
      </c>
      <c r="AR47" s="3">
        <f t="shared" si="35"/>
        <v>-189157655.67656842</v>
      </c>
      <c r="AS47" s="3">
        <f t="shared" si="36"/>
        <v>-158451736.61861965</v>
      </c>
      <c r="AT47" s="3">
        <f t="shared" si="37"/>
        <v>-134137333.11622804</v>
      </c>
      <c r="AU47" s="3">
        <f t="shared" si="38"/>
        <v>-114862281.13316892</v>
      </c>
      <c r="AV47" s="3">
        <f t="shared" si="39"/>
        <v>-99440301.600277513</v>
      </c>
      <c r="AW47" s="3">
        <f t="shared" si="40"/>
        <v>-86933577.026208088</v>
      </c>
      <c r="AX47" s="3">
        <f t="shared" si="41"/>
        <v>-76632813.42572169</v>
      </c>
      <c r="AY47" s="3">
        <f t="shared" si="42"/>
        <v>-68010537.950463951</v>
      </c>
      <c r="AZ47" s="3">
        <f t="shared" si="43"/>
        <v>-60675397.445564918</v>
      </c>
      <c r="BA47" s="3">
        <f t="shared" si="44"/>
        <v>-54335315.235508554</v>
      </c>
      <c r="BB47" s="3">
        <f t="shared" si="45"/>
        <v>-48770025.702336736</v>
      </c>
      <c r="BC47" s="3">
        <f t="shared" si="46"/>
        <v>-43811321.497087255</v>
      </c>
      <c r="BD47" s="3">
        <f t="shared" si="47"/>
        <v>-39329068.497902967</v>
      </c>
      <c r="BE47" s="3">
        <f t="shared" si="48"/>
        <v>-35221350.456654489</v>
      </c>
      <c r="BF47" s="3">
        <f t="shared" si="49"/>
        <v>-31407510.351558574</v>
      </c>
      <c r="BG47" s="3">
        <f t="shared" si="50"/>
        <v>-27823204.692868829</v>
      </c>
      <c r="BH47" s="3">
        <f t="shared" si="51"/>
        <v>-24416850.272941839</v>
      </c>
      <c r="BI47" s="3">
        <f t="shared" si="52"/>
        <v>-21147029.887636464</v>
      </c>
      <c r="BJ47" s="3">
        <f t="shared" si="53"/>
        <v>-17980552.913379904</v>
      </c>
      <c r="BK47" s="3">
        <f t="shared" si="54"/>
        <v>-14890955.416578365</v>
      </c>
      <c r="BL47" s="3">
        <f t="shared" si="55"/>
        <v>-11857285.982362298</v>
      </c>
      <c r="BM47" s="3">
        <f t="shared" si="56"/>
        <v>-8863067.2365236767</v>
      </c>
      <c r="BN47" s="3">
        <f t="shared" si="57"/>
        <v>-5895355.6172070373</v>
      </c>
      <c r="BO47" s="3">
        <f t="shared" si="58"/>
        <v>-2943847.4509495725</v>
      </c>
      <c r="BP47" s="3">
        <f t="shared" si="59"/>
        <v>0</v>
      </c>
      <c r="BW47" s="17"/>
      <c r="BX47" s="3">
        <f t="shared" si="60"/>
        <v>0.17426273458445043</v>
      </c>
      <c r="BY47" s="3">
        <f t="shared" ref="BY47:CW47" si="89">$C$19/($C$20-$C$21*BX47)</f>
        <v>0.17972039376148968</v>
      </c>
      <c r="BZ47" s="3">
        <f t="shared" si="89"/>
        <v>0.17989684606081083</v>
      </c>
      <c r="CA47" s="3">
        <f t="shared" si="89"/>
        <v>0.179902556745832</v>
      </c>
      <c r="CB47" s="3">
        <f t="shared" si="89"/>
        <v>0.17990274157194241</v>
      </c>
      <c r="CC47" s="3">
        <f t="shared" si="89"/>
        <v>0.17990274755383903</v>
      </c>
      <c r="CD47" s="3">
        <f t="shared" si="89"/>
        <v>0.17990274774744311</v>
      </c>
      <c r="CE47" s="3">
        <f t="shared" si="89"/>
        <v>0.1799027477537091</v>
      </c>
      <c r="CF47" s="3">
        <f t="shared" si="89"/>
        <v>0.17990274775391188</v>
      </c>
      <c r="CG47" s="3">
        <f t="shared" si="89"/>
        <v>0.17990274775391843</v>
      </c>
      <c r="CH47" s="3">
        <f t="shared" si="89"/>
        <v>0.17990274775391865</v>
      </c>
      <c r="CI47" s="3">
        <f t="shared" si="89"/>
        <v>0.17990274775391865</v>
      </c>
      <c r="CJ47" s="3">
        <f t="shared" si="89"/>
        <v>0.17990274775391865</v>
      </c>
      <c r="CK47" s="3">
        <f t="shared" si="89"/>
        <v>0.17990274775391865</v>
      </c>
      <c r="CL47" s="3">
        <f t="shared" si="89"/>
        <v>0.17990274775391865</v>
      </c>
      <c r="CM47" s="3">
        <f t="shared" si="89"/>
        <v>0.17990274775391865</v>
      </c>
      <c r="CN47" s="3">
        <f t="shared" si="89"/>
        <v>0.17990274775391865</v>
      </c>
      <c r="CO47" s="3">
        <f t="shared" si="89"/>
        <v>0.17990274775391865</v>
      </c>
      <c r="CP47" s="3">
        <f t="shared" si="89"/>
        <v>0.17990274775391865</v>
      </c>
      <c r="CQ47" s="3">
        <f t="shared" si="89"/>
        <v>0.17990274775391865</v>
      </c>
      <c r="CR47" s="3">
        <f t="shared" si="89"/>
        <v>0.17990274775391865</v>
      </c>
      <c r="CS47" s="3">
        <f t="shared" si="89"/>
        <v>0.17990274775391865</v>
      </c>
      <c r="CT47" s="3">
        <f t="shared" si="89"/>
        <v>0.17990274775391865</v>
      </c>
      <c r="CU47" s="3">
        <f t="shared" si="89"/>
        <v>0.17990274775391865</v>
      </c>
      <c r="CV47" s="3">
        <f t="shared" si="89"/>
        <v>0.17990274775391865</v>
      </c>
      <c r="CW47" s="3">
        <f t="shared" si="89"/>
        <v>0.17990274775391865</v>
      </c>
      <c r="CX47" s="3">
        <v>0</v>
      </c>
      <c r="DE47" s="17"/>
      <c r="DF47" s="3">
        <f t="shared" si="62"/>
        <v>65.147453083109909</v>
      </c>
      <c r="DG47" s="3">
        <f t="shared" si="62"/>
        <v>54.2920636589227</v>
      </c>
      <c r="DH47" s="3">
        <f t="shared" si="63"/>
        <v>45.222825389638587</v>
      </c>
      <c r="DI47" s="3">
        <f t="shared" si="64"/>
        <v>37.836958350524839</v>
      </c>
      <c r="DJ47" s="3">
        <f t="shared" si="65"/>
        <v>31.950599912725025</v>
      </c>
      <c r="DK47" s="3">
        <f t="shared" si="66"/>
        <v>27.278580042153298</v>
      </c>
      <c r="DL47" s="3">
        <f t="shared" si="67"/>
        <v>23.547268492560665</v>
      </c>
      <c r="DM47" s="3">
        <f t="shared" si="68"/>
        <v>20.531648451898768</v>
      </c>
      <c r="DN47" s="3">
        <f t="shared" si="69"/>
        <v>18.058283841405654</v>
      </c>
      <c r="DO47" s="3">
        <f t="shared" si="70"/>
        <v>15.997099880658364</v>
      </c>
      <c r="DP47" s="3">
        <f t="shared" si="71"/>
        <v>14.251337820752138</v>
      </c>
      <c r="DQ47" s="3">
        <f t="shared" si="72"/>
        <v>12.748841627390869</v>
      </c>
      <c r="DR47" s="3">
        <f t="shared" si="73"/>
        <v>11.435342122882309</v>
      </c>
      <c r="DS47" s="3">
        <f t="shared" si="74"/>
        <v>10.269546185704939</v>
      </c>
      <c r="DT47" s="3">
        <f t="shared" si="75"/>
        <v>9.2196318311664722</v>
      </c>
      <c r="DU47" s="3">
        <f t="shared" si="76"/>
        <v>8.2607703112734399</v>
      </c>
      <c r="DV47" s="3">
        <f t="shared" si="77"/>
        <v>7.3733759567588635</v>
      </c>
      <c r="DW47" s="3">
        <f t="shared" si="78"/>
        <v>6.5418642637516626</v>
      </c>
      <c r="DX47" s="3">
        <f t="shared" si="79"/>
        <v>5.7537624244452834</v>
      </c>
      <c r="DY47" s="3">
        <f t="shared" si="80"/>
        <v>4.9990630196207464</v>
      </c>
      <c r="DZ47" s="3">
        <f t="shared" si="81"/>
        <v>4.2697442073248713</v>
      </c>
      <c r="EA47" s="3">
        <f t="shared" si="82"/>
        <v>3.5594022536429337</v>
      </c>
      <c r="EB47" s="3">
        <f t="shared" si="83"/>
        <v>2.8629578313283992</v>
      </c>
      <c r="EC47" s="3">
        <f t="shared" si="84"/>
        <v>2.1764085226183068</v>
      </c>
      <c r="ED47" s="3">
        <f t="shared" si="85"/>
        <v>1.4966080509210937</v>
      </c>
      <c r="EE47" s="3">
        <f t="shared" si="86"/>
        <v>0.82105900070903082</v>
      </c>
      <c r="EF47" s="3">
        <v>0</v>
      </c>
    </row>
    <row r="48" spans="6:136" x14ac:dyDescent="0.3">
      <c r="G48" s="16"/>
      <c r="H48" s="3">
        <f t="shared" si="6"/>
        <v>100</v>
      </c>
      <c r="I48" s="3">
        <f t="shared" si="8"/>
        <v>66.623353933210382</v>
      </c>
      <c r="J48" s="3">
        <f t="shared" si="9"/>
        <v>57.476680279060865</v>
      </c>
      <c r="K48" s="3">
        <f t="shared" si="10"/>
        <v>49.59609628581746</v>
      </c>
      <c r="L48" s="3">
        <f t="shared" si="11"/>
        <v>42.967985619851945</v>
      </c>
      <c r="M48" s="3">
        <f t="shared" si="12"/>
        <v>37.447496961672464</v>
      </c>
      <c r="N48" s="3">
        <f t="shared" si="13"/>
        <v>32.852417188380791</v>
      </c>
      <c r="O48" s="3">
        <f t="shared" si="14"/>
        <v>29.007923767629858</v>
      </c>
      <c r="P48" s="3">
        <f t="shared" si="15"/>
        <v>25.76336073529065</v>
      </c>
      <c r="Q48" s="3">
        <f t="shared" si="16"/>
        <v>22.995379326056124</v>
      </c>
      <c r="R48" s="3">
        <f t="shared" si="17"/>
        <v>20.6054374754608</v>
      </c>
      <c r="S48" s="3">
        <f t="shared" si="18"/>
        <v>18.515587458878237</v>
      </c>
      <c r="T48" s="3">
        <f t="shared" si="19"/>
        <v>16.664259172505005</v>
      </c>
      <c r="U48" s="3">
        <f t="shared" si="20"/>
        <v>15.002652408075333</v>
      </c>
      <c r="V48" s="3">
        <f t="shared" si="21"/>
        <v>13.491862634510007</v>
      </c>
      <c r="W48" s="3">
        <f t="shared" si="22"/>
        <v>12.100673516377247</v>
      </c>
      <c r="X48" s="3">
        <f t="shared" si="23"/>
        <v>10.803893076846187</v>
      </c>
      <c r="Y48" s="3">
        <f t="shared" si="24"/>
        <v>9.5811093618247742</v>
      </c>
      <c r="Z48" s="3">
        <f t="shared" si="25"/>
        <v>8.4157591838182473</v>
      </c>
      <c r="AA48" s="3">
        <f t="shared" si="26"/>
        <v>7.2944246363273253</v>
      </c>
      <c r="AB48" s="3">
        <f t="shared" si="27"/>
        <v>6.2062909603114749</v>
      </c>
      <c r="AC48" s="3">
        <f t="shared" si="28"/>
        <v>5.1427146509995794</v>
      </c>
      <c r="AD48" s="3">
        <f t="shared" si="29"/>
        <v>4.096862731700476</v>
      </c>
      <c r="AE48" s="3">
        <f t="shared" si="30"/>
        <v>3.0633937267100397</v>
      </c>
      <c r="AF48" s="3">
        <f t="shared" si="31"/>
        <v>2.0381588771591237</v>
      </c>
      <c r="AG48" s="3">
        <f t="shared" si="32"/>
        <v>1.0179091654900514</v>
      </c>
      <c r="AH48" s="3">
        <v>0</v>
      </c>
      <c r="AI48"/>
      <c r="AJ48"/>
      <c r="AK48"/>
      <c r="AL48"/>
      <c r="AO48" s="17"/>
      <c r="AP48" s="3">
        <f t="shared" si="33"/>
        <v>-358800000</v>
      </c>
      <c r="AQ48" s="3">
        <f t="shared" si="34"/>
        <v>-238096940.10741797</v>
      </c>
      <c r="AR48" s="3">
        <f t="shared" si="35"/>
        <v>-205011195.38153163</v>
      </c>
      <c r="AS48" s="3">
        <f t="shared" si="36"/>
        <v>-176748728.33199969</v>
      </c>
      <c r="AT48" s="3">
        <f t="shared" si="37"/>
        <v>-153106088.7634697</v>
      </c>
      <c r="AU48" s="3">
        <f t="shared" si="38"/>
        <v>-133473455.06500946</v>
      </c>
      <c r="AV48" s="3">
        <f t="shared" si="39"/>
        <v>-117154095.30343477</v>
      </c>
      <c r="AW48" s="3">
        <f t="shared" si="40"/>
        <v>-103504645.43634078</v>
      </c>
      <c r="AX48" s="3">
        <f t="shared" si="41"/>
        <v>-91981537.634517208</v>
      </c>
      <c r="AY48" s="3">
        <f t="shared" si="42"/>
        <v>-82144596.388696656</v>
      </c>
      <c r="AZ48" s="3">
        <f t="shared" si="43"/>
        <v>-73644295.598050237</v>
      </c>
      <c r="BA48" s="3">
        <f t="shared" si="44"/>
        <v>-66205005.835708529</v>
      </c>
      <c r="BB48" s="3">
        <f t="shared" si="45"/>
        <v>-59609276.094702385</v>
      </c>
      <c r="BC48" s="3">
        <f t="shared" si="46"/>
        <v>-53684769.767707698</v>
      </c>
      <c r="BD48" s="3">
        <f t="shared" si="47"/>
        <v>-48294016.034432679</v>
      </c>
      <c r="BE48" s="3">
        <f t="shared" si="48"/>
        <v>-43326607.556088775</v>
      </c>
      <c r="BF48" s="3">
        <f t="shared" si="49"/>
        <v>-38693349.774991035</v>
      </c>
      <c r="BG48" s="3">
        <f t="shared" si="50"/>
        <v>-34321898.375813253</v>
      </c>
      <c r="BH48" s="3">
        <f t="shared" si="51"/>
        <v>-30153499.814301811</v>
      </c>
      <c r="BI48" s="3">
        <f t="shared" si="52"/>
        <v>-26140530.956272416</v>
      </c>
      <c r="BJ48" s="3">
        <f t="shared" si="53"/>
        <v>-22244602.957109112</v>
      </c>
      <c r="BK48" s="3">
        <f t="shared" si="54"/>
        <v>-18435049.129766811</v>
      </c>
      <c r="BL48" s="3">
        <f t="shared" si="55"/>
        <v>-14687658.941114696</v>
      </c>
      <c r="BM48" s="3">
        <f t="shared" si="56"/>
        <v>-10983553.935338484</v>
      </c>
      <c r="BN48" s="3">
        <f t="shared" si="57"/>
        <v>-7308129.5497786086</v>
      </c>
      <c r="BO48" s="3">
        <f t="shared" si="58"/>
        <v>-3650011.7393590817</v>
      </c>
      <c r="BP48" s="3">
        <f t="shared" si="59"/>
        <v>0</v>
      </c>
      <c r="BW48" s="17"/>
      <c r="BX48" s="3">
        <f t="shared" si="60"/>
        <v>0.17426273458445043</v>
      </c>
      <c r="BY48" s="3">
        <f t="shared" ref="BY48:CW48" si="90">$C$19/($C$20-$C$21*BX48)</f>
        <v>0.17972039376148968</v>
      </c>
      <c r="BZ48" s="3">
        <f t="shared" si="90"/>
        <v>0.17989684606081083</v>
      </c>
      <c r="CA48" s="3">
        <f t="shared" si="90"/>
        <v>0.179902556745832</v>
      </c>
      <c r="CB48" s="3">
        <f t="shared" si="90"/>
        <v>0.17990274157194241</v>
      </c>
      <c r="CC48" s="3">
        <f t="shared" si="90"/>
        <v>0.17990274755383903</v>
      </c>
      <c r="CD48" s="3">
        <f t="shared" si="90"/>
        <v>0.17990274774744311</v>
      </c>
      <c r="CE48" s="3">
        <f t="shared" si="90"/>
        <v>0.1799027477537091</v>
      </c>
      <c r="CF48" s="3">
        <f t="shared" si="90"/>
        <v>0.17990274775391188</v>
      </c>
      <c r="CG48" s="3">
        <f t="shared" si="90"/>
        <v>0.17990274775391843</v>
      </c>
      <c r="CH48" s="3">
        <f t="shared" si="90"/>
        <v>0.17990274775391865</v>
      </c>
      <c r="CI48" s="3">
        <f t="shared" si="90"/>
        <v>0.17990274775391865</v>
      </c>
      <c r="CJ48" s="3">
        <f t="shared" si="90"/>
        <v>0.17990274775391865</v>
      </c>
      <c r="CK48" s="3">
        <f t="shared" si="90"/>
        <v>0.17990274775391865</v>
      </c>
      <c r="CL48" s="3">
        <f t="shared" si="90"/>
        <v>0.17990274775391865</v>
      </c>
      <c r="CM48" s="3">
        <f t="shared" si="90"/>
        <v>0.17990274775391865</v>
      </c>
      <c r="CN48" s="3">
        <f t="shared" si="90"/>
        <v>0.17990274775391865</v>
      </c>
      <c r="CO48" s="3">
        <f t="shared" si="90"/>
        <v>0.17990274775391865</v>
      </c>
      <c r="CP48" s="3">
        <f t="shared" si="90"/>
        <v>0.17990274775391865</v>
      </c>
      <c r="CQ48" s="3">
        <f t="shared" si="90"/>
        <v>0.17990274775391865</v>
      </c>
      <c r="CR48" s="3">
        <f t="shared" si="90"/>
        <v>0.17990274775391865</v>
      </c>
      <c r="CS48" s="3">
        <f t="shared" si="90"/>
        <v>0.17990274775391865</v>
      </c>
      <c r="CT48" s="3">
        <f t="shared" si="90"/>
        <v>0.17990274775391865</v>
      </c>
      <c r="CU48" s="3">
        <f t="shared" si="90"/>
        <v>0.17990274775391865</v>
      </c>
      <c r="CV48" s="3">
        <f t="shared" si="90"/>
        <v>0.17990274775391865</v>
      </c>
      <c r="CW48" s="3">
        <f t="shared" si="90"/>
        <v>0.17990274775391865</v>
      </c>
      <c r="CX48" s="3">
        <v>0</v>
      </c>
      <c r="DE48" s="17"/>
      <c r="DF48" s="3">
        <f t="shared" si="62"/>
        <v>65.147453083109909</v>
      </c>
      <c r="DG48" s="3">
        <f t="shared" si="62"/>
        <v>56.293622321354313</v>
      </c>
      <c r="DH48" s="3">
        <f t="shared" si="63"/>
        <v>48.554498980314008</v>
      </c>
      <c r="DI48" s="3">
        <f t="shared" si="64"/>
        <v>41.866045814587949</v>
      </c>
      <c r="DJ48" s="3">
        <f t="shared" si="65"/>
        <v>36.231078251440088</v>
      </c>
      <c r="DK48" s="3">
        <f t="shared" si="66"/>
        <v>31.537256845697794</v>
      </c>
      <c r="DL48" s="3">
        <f t="shared" si="67"/>
        <v>27.633811996135819</v>
      </c>
      <c r="DM48" s="3">
        <f t="shared" si="68"/>
        <v>24.37302437998105</v>
      </c>
      <c r="DN48" s="3">
        <f t="shared" si="69"/>
        <v>21.626428808889656</v>
      </c>
      <c r="DO48" s="3">
        <f t="shared" si="70"/>
        <v>19.288404505549163</v>
      </c>
      <c r="DP48" s="3">
        <f t="shared" si="71"/>
        <v>17.274432415330608</v>
      </c>
      <c r="DQ48" s="3">
        <f t="shared" si="72"/>
        <v>15.517641444461143</v>
      </c>
      <c r="DR48" s="3">
        <f t="shared" si="73"/>
        <v>13.965240780695309</v>
      </c>
      <c r="DS48" s="3">
        <f t="shared" si="74"/>
        <v>12.575429247808559</v>
      </c>
      <c r="DT48" s="3">
        <f t="shared" si="75"/>
        <v>11.314918219240667</v>
      </c>
      <c r="DU48" s="3">
        <f t="shared" si="76"/>
        <v>10.157023465413079</v>
      </c>
      <c r="DV48" s="3">
        <f t="shared" si="77"/>
        <v>9.0802251761231165</v>
      </c>
      <c r="DW48" s="3">
        <f t="shared" si="78"/>
        <v>8.0670911602205955</v>
      </c>
      <c r="DX48" s="3">
        <f t="shared" si="79"/>
        <v>7.1034721484590833</v>
      </c>
      <c r="DY48" s="3">
        <f t="shared" si="80"/>
        <v>6.1778958392069843</v>
      </c>
      <c r="DZ48" s="3">
        <f t="shared" si="81"/>
        <v>5.2811024636823154</v>
      </c>
      <c r="EA48" s="3">
        <f t="shared" si="82"/>
        <v>4.405677788396039</v>
      </c>
      <c r="EB48" s="3">
        <f t="shared" si="83"/>
        <v>3.545749782813223</v>
      </c>
      <c r="EC48" s="3">
        <f t="shared" si="84"/>
        <v>2.696723344350072</v>
      </c>
      <c r="ED48" s="3">
        <f t="shared" si="85"/>
        <v>1.8550342213235653</v>
      </c>
      <c r="EE48" s="3">
        <f t="shared" si="86"/>
        <v>1.0179091654900514</v>
      </c>
      <c r="EF48" s="3">
        <v>0</v>
      </c>
    </row>
    <row r="49" spans="7:136" x14ac:dyDescent="0.3">
      <c r="G49" s="16"/>
      <c r="H49" s="3">
        <f t="shared" si="6"/>
        <v>100</v>
      </c>
      <c r="I49" s="3">
        <f t="shared" si="8"/>
        <v>68.504057679594524</v>
      </c>
      <c r="J49" s="3">
        <f t="shared" si="9"/>
        <v>60.506940762095539</v>
      </c>
      <c r="K49" s="3">
        <f t="shared" si="10"/>
        <v>53.339930094890889</v>
      </c>
      <c r="L49" s="3">
        <f t="shared" si="11"/>
        <v>47.069196334518217</v>
      </c>
      <c r="M49" s="3">
        <f t="shared" si="12"/>
        <v>41.652987769012768</v>
      </c>
      <c r="N49" s="3">
        <f t="shared" si="13"/>
        <v>36.998283633432351</v>
      </c>
      <c r="O49" s="3">
        <f t="shared" si="14"/>
        <v>32.996102988974165</v>
      </c>
      <c r="P49" s="3">
        <f t="shared" si="15"/>
        <v>29.540237112504244</v>
      </c>
      <c r="Q49" s="3">
        <f t="shared" si="16"/>
        <v>26.53552604262201</v>
      </c>
      <c r="R49" s="3">
        <f t="shared" si="17"/>
        <v>23.900353618704077</v>
      </c>
      <c r="S49" s="3">
        <f t="shared" si="18"/>
        <v>21.566315822244214</v>
      </c>
      <c r="T49" s="3">
        <f t="shared" si="19"/>
        <v>19.476729196874746</v>
      </c>
      <c r="U49" s="3">
        <f t="shared" si="20"/>
        <v>17.584834456158536</v>
      </c>
      <c r="V49" s="3">
        <f t="shared" si="21"/>
        <v>15.852088109616822</v>
      </c>
      <c r="W49" s="3">
        <f t="shared" si="22"/>
        <v>14.246691324729518</v>
      </c>
      <c r="X49" s="3">
        <f t="shared" si="23"/>
        <v>12.742386428616914</v>
      </c>
      <c r="Y49" s="3">
        <f t="shared" si="24"/>
        <v>11.317499141166889</v>
      </c>
      <c r="Z49" s="3">
        <f t="shared" si="25"/>
        <v>9.9541855466854159</v>
      </c>
      <c r="AA49" s="3">
        <f t="shared" si="26"/>
        <v>8.6378391165384993</v>
      </c>
      <c r="AB49" s="3">
        <f t="shared" si="27"/>
        <v>7.3566158010072069</v>
      </c>
      <c r="AC49" s="3">
        <f t="shared" si="28"/>
        <v>6.1010401521547966</v>
      </c>
      <c r="AD49" s="3">
        <f t="shared" si="29"/>
        <v>4.8636609836340003</v>
      </c>
      <c r="AE49" s="3">
        <f t="shared" si="30"/>
        <v>3.638730820396721</v>
      </c>
      <c r="AF49" s="3">
        <f t="shared" si="31"/>
        <v>2.421889447569892</v>
      </c>
      <c r="AG49" s="3">
        <f t="shared" si="32"/>
        <v>1.2098383864875057</v>
      </c>
      <c r="AH49" s="3">
        <v>0</v>
      </c>
      <c r="AI49"/>
      <c r="AJ49"/>
      <c r="AK49"/>
      <c r="AL49"/>
      <c r="AO49" s="17"/>
      <c r="AP49" s="3">
        <f t="shared" si="33"/>
        <v>-358800000</v>
      </c>
      <c r="AQ49" s="3">
        <f t="shared" si="34"/>
        <v>-245232079.55659795</v>
      </c>
      <c r="AR49" s="3">
        <f t="shared" si="35"/>
        <v>-216302206.41862249</v>
      </c>
      <c r="AS49" s="3">
        <f t="shared" si="36"/>
        <v>-190523464.65284979</v>
      </c>
      <c r="AT49" s="3">
        <f t="shared" si="37"/>
        <v>-168064143.25505412</v>
      </c>
      <c r="AU49" s="3">
        <f t="shared" si="38"/>
        <v>-148720063.88827494</v>
      </c>
      <c r="AV49" s="3">
        <f t="shared" si="39"/>
        <v>-132123580.24218932</v>
      </c>
      <c r="AW49" s="3">
        <f t="shared" si="40"/>
        <v>-117865690.23970586</v>
      </c>
      <c r="AX49" s="3">
        <f t="shared" si="41"/>
        <v>-105557373.5415896</v>
      </c>
      <c r="AY49" s="3">
        <f t="shared" si="42"/>
        <v>-94854801.584912151</v>
      </c>
      <c r="AZ49" s="3">
        <f t="shared" si="43"/>
        <v>-85465453.895779476</v>
      </c>
      <c r="BA49" s="3">
        <f t="shared" si="44"/>
        <v>-77145328.404279321</v>
      </c>
      <c r="BB49" s="3">
        <f t="shared" si="45"/>
        <v>-69692768.961930498</v>
      </c>
      <c r="BC49" s="3">
        <f t="shared" si="46"/>
        <v>-62941642.866189122</v>
      </c>
      <c r="BD49" s="3">
        <f t="shared" si="47"/>
        <v>-56755068.002453148</v>
      </c>
      <c r="BE49" s="3">
        <f t="shared" si="48"/>
        <v>-51020105.220865995</v>
      </c>
      <c r="BF49" s="3">
        <f t="shared" si="49"/>
        <v>-45643461.210847504</v>
      </c>
      <c r="BG49" s="3">
        <f t="shared" si="50"/>
        <v>-40548091.376637973</v>
      </c>
      <c r="BH49" s="3">
        <f t="shared" si="51"/>
        <v>-35670540.860576801</v>
      </c>
      <c r="BI49" s="3">
        <f t="shared" si="52"/>
        <v>-30958857.232483119</v>
      </c>
      <c r="BJ49" s="3">
        <f t="shared" si="53"/>
        <v>-26370922.066759337</v>
      </c>
      <c r="BK49" s="3">
        <f t="shared" si="54"/>
        <v>-21873067.937771168</v>
      </c>
      <c r="BL49" s="3">
        <f t="shared" si="55"/>
        <v>-17438867.638035085</v>
      </c>
      <c r="BM49" s="3">
        <f t="shared" si="56"/>
        <v>-13048002.942021606</v>
      </c>
      <c r="BN49" s="3">
        <f t="shared" si="57"/>
        <v>-8685141.8213991318</v>
      </c>
      <c r="BO49" s="3">
        <f t="shared" si="58"/>
        <v>-4338776.5094454922</v>
      </c>
      <c r="BP49" s="3">
        <f t="shared" si="59"/>
        <v>0</v>
      </c>
      <c r="BW49" s="17"/>
      <c r="BX49" s="3">
        <f t="shared" si="60"/>
        <v>0.17426273458445043</v>
      </c>
      <c r="BY49" s="3">
        <f t="shared" ref="BY49:CW49" si="91">$C$19/($C$20-$C$21*BX49)</f>
        <v>0.17972039376148968</v>
      </c>
      <c r="BZ49" s="3">
        <f t="shared" si="91"/>
        <v>0.17989684606081083</v>
      </c>
      <c r="CA49" s="3">
        <f t="shared" si="91"/>
        <v>0.179902556745832</v>
      </c>
      <c r="CB49" s="3">
        <f t="shared" si="91"/>
        <v>0.17990274157194241</v>
      </c>
      <c r="CC49" s="3">
        <f t="shared" si="91"/>
        <v>0.17990274755383903</v>
      </c>
      <c r="CD49" s="3">
        <f t="shared" si="91"/>
        <v>0.17990274774744311</v>
      </c>
      <c r="CE49" s="3">
        <f t="shared" si="91"/>
        <v>0.1799027477537091</v>
      </c>
      <c r="CF49" s="3">
        <f t="shared" si="91"/>
        <v>0.17990274775391188</v>
      </c>
      <c r="CG49" s="3">
        <f t="shared" si="91"/>
        <v>0.17990274775391843</v>
      </c>
      <c r="CH49" s="3">
        <f t="shared" si="91"/>
        <v>0.17990274775391865</v>
      </c>
      <c r="CI49" s="3">
        <f t="shared" si="91"/>
        <v>0.17990274775391865</v>
      </c>
      <c r="CJ49" s="3">
        <f t="shared" si="91"/>
        <v>0.17990274775391865</v>
      </c>
      <c r="CK49" s="3">
        <f t="shared" si="91"/>
        <v>0.17990274775391865</v>
      </c>
      <c r="CL49" s="3">
        <f t="shared" si="91"/>
        <v>0.17990274775391865</v>
      </c>
      <c r="CM49" s="3">
        <f t="shared" si="91"/>
        <v>0.17990274775391865</v>
      </c>
      <c r="CN49" s="3">
        <f t="shared" si="91"/>
        <v>0.17990274775391865</v>
      </c>
      <c r="CO49" s="3">
        <f t="shared" si="91"/>
        <v>0.17990274775391865</v>
      </c>
      <c r="CP49" s="3">
        <f t="shared" si="91"/>
        <v>0.17990274775391865</v>
      </c>
      <c r="CQ49" s="3">
        <f t="shared" si="91"/>
        <v>0.17990274775391865</v>
      </c>
      <c r="CR49" s="3">
        <f t="shared" si="91"/>
        <v>0.17990274775391865</v>
      </c>
      <c r="CS49" s="3">
        <f t="shared" si="91"/>
        <v>0.17990274775391865</v>
      </c>
      <c r="CT49" s="3">
        <f t="shared" si="91"/>
        <v>0.17990274775391865</v>
      </c>
      <c r="CU49" s="3">
        <f t="shared" si="91"/>
        <v>0.17990274775391865</v>
      </c>
      <c r="CV49" s="3">
        <f t="shared" si="91"/>
        <v>0.17990274775391865</v>
      </c>
      <c r="CW49" s="3">
        <f t="shared" si="91"/>
        <v>0.17990274775391865</v>
      </c>
      <c r="CX49" s="3">
        <v>0</v>
      </c>
      <c r="DE49" s="17"/>
      <c r="DF49" s="3">
        <f t="shared" si="62"/>
        <v>65.147453083109909</v>
      </c>
      <c r="DG49" s="3">
        <f t="shared" si="62"/>
        <v>57.629726460527586</v>
      </c>
      <c r="DH49" s="3">
        <f t="shared" si="63"/>
        <v>50.911255568920545</v>
      </c>
      <c r="DI49" s="3">
        <f t="shared" si="64"/>
        <v>44.87206133033952</v>
      </c>
      <c r="DJ49" s="3">
        <f t="shared" si="65"/>
        <v>39.575709640210235</v>
      </c>
      <c r="DK49" s="3">
        <f t="shared" si="66"/>
        <v>34.996894888582055</v>
      </c>
      <c r="DL49" s="3">
        <f t="shared" si="67"/>
        <v>31.062194040758275</v>
      </c>
      <c r="DM49" s="3">
        <f t="shared" si="68"/>
        <v>27.681733163138556</v>
      </c>
      <c r="DN49" s="3">
        <f t="shared" si="69"/>
        <v>24.766423064341055</v>
      </c>
      <c r="DO49" s="3">
        <f t="shared" si="70"/>
        <v>22.235786754326838</v>
      </c>
      <c r="DP49" s="3">
        <f t="shared" si="71"/>
        <v>20.02051414335353</v>
      </c>
      <c r="DQ49" s="3">
        <f t="shared" si="72"/>
        <v>18.062398722467474</v>
      </c>
      <c r="DR49" s="3">
        <f t="shared" si="73"/>
        <v>16.313169159414041</v>
      </c>
      <c r="DS49" s="3">
        <f t="shared" si="74"/>
        <v>14.733000247601248</v>
      </c>
      <c r="DT49" s="3">
        <f t="shared" si="75"/>
        <v>13.289069193896067</v>
      </c>
      <c r="DU49" s="3">
        <f t="shared" si="76"/>
        <v>11.954300993279093</v>
      </c>
      <c r="DV49" s="3">
        <f t="shared" si="77"/>
        <v>10.706337235418376</v>
      </c>
      <c r="DW49" s="3">
        <f t="shared" si="78"/>
        <v>9.526713809665841</v>
      </c>
      <c r="DX49" s="3">
        <f t="shared" si="79"/>
        <v>8.400214554963858</v>
      </c>
      <c r="DY49" s="3">
        <f t="shared" si="80"/>
        <v>7.3143637197674076</v>
      </c>
      <c r="DZ49" s="3">
        <f t="shared" si="81"/>
        <v>6.2590219134775733</v>
      </c>
      <c r="EA49" s="3">
        <f t="shared" si="82"/>
        <v>5.2260541770555129</v>
      </c>
      <c r="EB49" s="3">
        <f t="shared" si="83"/>
        <v>4.2090433107077594</v>
      </c>
      <c r="EC49" s="3">
        <f t="shared" si="84"/>
        <v>3.2030262540226775</v>
      </c>
      <c r="ED49" s="3">
        <f t="shared" si="85"/>
        <v>2.2042361975026221</v>
      </c>
      <c r="EE49" s="3">
        <f t="shared" si="86"/>
        <v>1.2098383864875057</v>
      </c>
      <c r="EF49" s="3">
        <v>0</v>
      </c>
    </row>
    <row r="50" spans="7:136" x14ac:dyDescent="0.3">
      <c r="G50" s="16"/>
      <c r="H50" s="3">
        <f t="shared" si="6"/>
        <v>100</v>
      </c>
      <c r="I50" s="3">
        <f t="shared" si="8"/>
        <v>69.847802633006012</v>
      </c>
      <c r="J50" s="3">
        <f t="shared" si="9"/>
        <v>62.745954084537125</v>
      </c>
      <c r="K50" s="3">
        <f t="shared" si="10"/>
        <v>56.207592979620117</v>
      </c>
      <c r="L50" s="3">
        <f t="shared" si="11"/>
        <v>50.319011935259809</v>
      </c>
      <c r="M50" s="3">
        <f t="shared" si="12"/>
        <v>45.088039148132303</v>
      </c>
      <c r="N50" s="3">
        <f t="shared" si="13"/>
        <v>40.475043376067099</v>
      </c>
      <c r="O50" s="3">
        <f t="shared" si="14"/>
        <v>36.416818725524664</v>
      </c>
      <c r="P50" s="3">
        <f t="shared" si="15"/>
        <v>32.842163190493018</v>
      </c>
      <c r="Q50" s="3">
        <f t="shared" si="16"/>
        <v>29.68083021723918</v>
      </c>
      <c r="R50" s="3">
        <f t="shared" si="17"/>
        <v>26.868007253009637</v>
      </c>
      <c r="S50" s="3">
        <f t="shared" si="18"/>
        <v>24.346089066187691</v>
      </c>
      <c r="T50" s="3">
        <f t="shared" si="19"/>
        <v>22.064965688840701</v>
      </c>
      <c r="U50" s="3">
        <f t="shared" si="20"/>
        <v>19.981584329371088</v>
      </c>
      <c r="V50" s="3">
        <f t="shared" si="21"/>
        <v>18.059221928114663</v>
      </c>
      <c r="W50" s="3">
        <f t="shared" si="22"/>
        <v>16.266700408512271</v>
      </c>
      <c r="X50" s="3">
        <f t="shared" si="23"/>
        <v>14.577655459458697</v>
      </c>
      <c r="Y50" s="3">
        <f t="shared" si="24"/>
        <v>12.969901671545289</v>
      </c>
      <c r="Z50" s="3">
        <f t="shared" si="25"/>
        <v>11.42490053683718</v>
      </c>
      <c r="AA50" s="3">
        <f t="shared" si="26"/>
        <v>9.9273194286673849</v>
      </c>
      <c r="AB50" s="3">
        <f t="shared" si="27"/>
        <v>8.4646610224596479</v>
      </c>
      <c r="AC50" s="3">
        <f t="shared" si="28"/>
        <v>7.0269392127951509</v>
      </c>
      <c r="AD50" s="3">
        <f t="shared" si="29"/>
        <v>5.6063772458604975</v>
      </c>
      <c r="AE50" s="3">
        <f t="shared" si="30"/>
        <v>4.1971057003851371</v>
      </c>
      <c r="AF50" s="3">
        <f t="shared" si="31"/>
        <v>2.7948419818575654</v>
      </c>
      <c r="AG50" s="3">
        <f t="shared" si="32"/>
        <v>1.3965391621405503</v>
      </c>
      <c r="AH50" s="3">
        <v>0</v>
      </c>
      <c r="AI50"/>
      <c r="AJ50"/>
      <c r="AK50"/>
      <c r="AL50"/>
      <c r="AO50" s="17"/>
      <c r="AP50" s="3">
        <f t="shared" si="33"/>
        <v>-358800000</v>
      </c>
      <c r="AQ50" s="3">
        <f t="shared" si="34"/>
        <v>-250259122.9705635</v>
      </c>
      <c r="AR50" s="3">
        <f t="shared" si="35"/>
        <v>-224591674.44221148</v>
      </c>
      <c r="AS50" s="3">
        <f t="shared" si="36"/>
        <v>-201049215.19226369</v>
      </c>
      <c r="AT50" s="3">
        <f t="shared" si="37"/>
        <v>-179913473.26917791</v>
      </c>
      <c r="AU50" s="3">
        <f t="shared" si="38"/>
        <v>-161182779.11595619</v>
      </c>
      <c r="AV50" s="3">
        <f t="shared" si="39"/>
        <v>-144692012.33719069</v>
      </c>
      <c r="AW50" s="3">
        <f t="shared" si="40"/>
        <v>-130199438.63607374</v>
      </c>
      <c r="AX50" s="3">
        <f t="shared" si="41"/>
        <v>-117440993.92313582</v>
      </c>
      <c r="AY50" s="3">
        <f t="shared" si="42"/>
        <v>-106160335.26264493</v>
      </c>
      <c r="AZ50" s="3">
        <f t="shared" si="43"/>
        <v>-96123213.265827402</v>
      </c>
      <c r="BA50" s="3">
        <f t="shared" si="44"/>
        <v>-87122664.007893994</v>
      </c>
      <c r="BB50" s="3">
        <f t="shared" si="45"/>
        <v>-78979313.379587755</v>
      </c>
      <c r="BC50" s="3">
        <f t="shared" si="46"/>
        <v>-71539386.131666288</v>
      </c>
      <c r="BD50" s="3">
        <f t="shared" si="47"/>
        <v>-64671873.091164492</v>
      </c>
      <c r="BE50" s="3">
        <f t="shared" si="48"/>
        <v>-58265609.107785687</v>
      </c>
      <c r="BF50" s="3">
        <f t="shared" si="49"/>
        <v>-52226608.345734887</v>
      </c>
      <c r="BG50" s="3">
        <f t="shared" si="50"/>
        <v>-46475780.14490968</v>
      </c>
      <c r="BH50" s="3">
        <f t="shared" si="51"/>
        <v>-40947031.609343551</v>
      </c>
      <c r="BI50" s="3">
        <f t="shared" si="52"/>
        <v>-35585704.939064384</v>
      </c>
      <c r="BJ50" s="3">
        <f t="shared" si="53"/>
        <v>-30347270.773088034</v>
      </c>
      <c r="BK50" s="3">
        <f t="shared" si="54"/>
        <v>-25196188.683486562</v>
      </c>
      <c r="BL50" s="3">
        <f t="shared" si="55"/>
        <v>-20104845.541304927</v>
      </c>
      <c r="BM50" s="3">
        <f t="shared" si="56"/>
        <v>-15052489.469439633</v>
      </c>
      <c r="BN50" s="3">
        <f t="shared" si="57"/>
        <v>-10024091.546046516</v>
      </c>
      <c r="BO50" s="3">
        <f t="shared" si="58"/>
        <v>-5009089.8379578954</v>
      </c>
      <c r="BP50" s="3">
        <f t="shared" si="59"/>
        <v>0</v>
      </c>
      <c r="BW50" s="17"/>
      <c r="BX50" s="3">
        <f t="shared" si="60"/>
        <v>0.17426273458445043</v>
      </c>
      <c r="BY50" s="3">
        <f t="shared" ref="BY50:CW50" si="92">$C$19/($C$20-$C$21*BX50)</f>
        <v>0.17972039376148968</v>
      </c>
      <c r="BZ50" s="3">
        <f t="shared" si="92"/>
        <v>0.17989684606081083</v>
      </c>
      <c r="CA50" s="3">
        <f t="shared" si="92"/>
        <v>0.179902556745832</v>
      </c>
      <c r="CB50" s="3">
        <f t="shared" si="92"/>
        <v>0.17990274157194241</v>
      </c>
      <c r="CC50" s="3">
        <f t="shared" si="92"/>
        <v>0.17990274755383903</v>
      </c>
      <c r="CD50" s="3">
        <f t="shared" si="92"/>
        <v>0.17990274774744311</v>
      </c>
      <c r="CE50" s="3">
        <f t="shared" si="92"/>
        <v>0.1799027477537091</v>
      </c>
      <c r="CF50" s="3">
        <f t="shared" si="92"/>
        <v>0.17990274775391188</v>
      </c>
      <c r="CG50" s="3">
        <f t="shared" si="92"/>
        <v>0.17990274775391843</v>
      </c>
      <c r="CH50" s="3">
        <f t="shared" si="92"/>
        <v>0.17990274775391865</v>
      </c>
      <c r="CI50" s="3">
        <f t="shared" si="92"/>
        <v>0.17990274775391865</v>
      </c>
      <c r="CJ50" s="3">
        <f t="shared" si="92"/>
        <v>0.17990274775391865</v>
      </c>
      <c r="CK50" s="3">
        <f t="shared" si="92"/>
        <v>0.17990274775391865</v>
      </c>
      <c r="CL50" s="3">
        <f t="shared" si="92"/>
        <v>0.17990274775391865</v>
      </c>
      <c r="CM50" s="3">
        <f t="shared" si="92"/>
        <v>0.17990274775391865</v>
      </c>
      <c r="CN50" s="3">
        <f t="shared" si="92"/>
        <v>0.17990274775391865</v>
      </c>
      <c r="CO50" s="3">
        <f t="shared" si="92"/>
        <v>0.17990274775391865</v>
      </c>
      <c r="CP50" s="3">
        <f t="shared" si="92"/>
        <v>0.17990274775391865</v>
      </c>
      <c r="CQ50" s="3">
        <f t="shared" si="92"/>
        <v>0.17990274775391865</v>
      </c>
      <c r="CR50" s="3">
        <f t="shared" si="92"/>
        <v>0.17990274775391865</v>
      </c>
      <c r="CS50" s="3">
        <f t="shared" si="92"/>
        <v>0.17990274775391865</v>
      </c>
      <c r="CT50" s="3">
        <f t="shared" si="92"/>
        <v>0.17990274775391865</v>
      </c>
      <c r="CU50" s="3">
        <f t="shared" si="92"/>
        <v>0.17990274775391865</v>
      </c>
      <c r="CV50" s="3">
        <f t="shared" si="92"/>
        <v>0.17990274775391865</v>
      </c>
      <c r="CW50" s="3">
        <f t="shared" si="92"/>
        <v>0.17990274775391865</v>
      </c>
      <c r="CX50" s="3">
        <v>0</v>
      </c>
      <c r="DE50" s="17"/>
      <c r="DF50" s="3">
        <f t="shared" si="62"/>
        <v>65.147453083109909</v>
      </c>
      <c r="DG50" s="3">
        <f t="shared" si="62"/>
        <v>58.571075057992651</v>
      </c>
      <c r="DH50" s="3">
        <f t="shared" si="63"/>
        <v>52.634385382833692</v>
      </c>
      <c r="DI50" s="3">
        <f t="shared" si="64"/>
        <v>47.155074079542842</v>
      </c>
      <c r="DJ50" s="3">
        <f t="shared" si="65"/>
        <v>42.207550080407742</v>
      </c>
      <c r="DK50" s="3">
        <f t="shared" si="66"/>
        <v>37.806467637417022</v>
      </c>
      <c r="DL50" s="3">
        <f t="shared" si="67"/>
        <v>33.923557623124672</v>
      </c>
      <c r="DM50" s="3">
        <f t="shared" si="68"/>
        <v>30.508423325379248</v>
      </c>
      <c r="DN50" s="3">
        <f t="shared" si="69"/>
        <v>27.502500278794354</v>
      </c>
      <c r="DO50" s="3">
        <f t="shared" si="70"/>
        <v>24.847201885750536</v>
      </c>
      <c r="DP50" s="3">
        <f t="shared" si="71"/>
        <v>22.488078932940837</v>
      </c>
      <c r="DQ50" s="3">
        <f t="shared" si="72"/>
        <v>20.376541109669311</v>
      </c>
      <c r="DR50" s="3">
        <f t="shared" si="73"/>
        <v>18.470223763510202</v>
      </c>
      <c r="DS50" s="3">
        <f t="shared" si="74"/>
        <v>16.732680682205441</v>
      </c>
      <c r="DT50" s="3">
        <f t="shared" si="75"/>
        <v>15.132797827733514</v>
      </c>
      <c r="DU50" s="3">
        <f t="shared" si="76"/>
        <v>13.64414013554574</v>
      </c>
      <c r="DV50" s="3">
        <f t="shared" si="77"/>
        <v>12.244334510649557</v>
      </c>
      <c r="DW50" s="3">
        <f t="shared" si="78"/>
        <v>10.914530672153059</v>
      </c>
      <c r="DX50" s="3">
        <f t="shared" si="79"/>
        <v>9.638948493789055</v>
      </c>
      <c r="DY50" s="3">
        <f t="shared" si="80"/>
        <v>8.4045036519214005</v>
      </c>
      <c r="DZ50" s="3">
        <f t="shared" si="81"/>
        <v>7.2004953497780413</v>
      </c>
      <c r="EA50" s="3">
        <f t="shared" si="82"/>
        <v>6.0183365413198011</v>
      </c>
      <c r="EB50" s="3">
        <f t="shared" si="83"/>
        <v>4.8513063977475763</v>
      </c>
      <c r="EC50" s="3">
        <f t="shared" si="84"/>
        <v>3.6943059483109533</v>
      </c>
      <c r="ED50" s="3">
        <f t="shared" si="85"/>
        <v>2.543600749242525</v>
      </c>
      <c r="EE50" s="3">
        <f t="shared" si="86"/>
        <v>1.3965391621405503</v>
      </c>
      <c r="EF50" s="3">
        <v>0</v>
      </c>
    </row>
    <row r="51" spans="7:136" x14ac:dyDescent="0.3">
      <c r="G51" s="16"/>
      <c r="H51" s="3">
        <f t="shared" si="6"/>
        <v>100</v>
      </c>
      <c r="I51" s="3">
        <f t="shared" si="8"/>
        <v>70.84269078091603</v>
      </c>
      <c r="J51" s="3">
        <f t="shared" si="9"/>
        <v>64.440880632242411</v>
      </c>
      <c r="K51" s="3">
        <f t="shared" si="10"/>
        <v>58.435675276103815</v>
      </c>
      <c r="L51" s="3">
        <f t="shared" si="11"/>
        <v>52.91088443105437</v>
      </c>
      <c r="M51" s="3">
        <f t="shared" si="12"/>
        <v>47.895764325632783</v>
      </c>
      <c r="N51" s="3">
        <f t="shared" si="13"/>
        <v>43.380878651032589</v>
      </c>
      <c r="O51" s="3">
        <f t="shared" si="14"/>
        <v>39.332988270172834</v>
      </c>
      <c r="P51" s="3">
        <f t="shared" si="15"/>
        <v>35.706478580710758</v>
      </c>
      <c r="Q51" s="3">
        <f t="shared" si="16"/>
        <v>32.451113875716288</v>
      </c>
      <c r="R51" s="3">
        <f t="shared" si="17"/>
        <v>29.516807308906934</v>
      </c>
      <c r="S51" s="3">
        <f t="shared" si="18"/>
        <v>26.856271726178665</v>
      </c>
      <c r="T51" s="3">
        <f t="shared" si="19"/>
        <v>24.426297054746829</v>
      </c>
      <c r="U51" s="3">
        <f t="shared" si="20"/>
        <v>22.188203908390051</v>
      </c>
      <c r="V51" s="3">
        <f t="shared" si="21"/>
        <v>20.107842642738152</v>
      </c>
      <c r="W51" s="3">
        <f t="shared" si="22"/>
        <v>18.15536942946374</v>
      </c>
      <c r="X51" s="3">
        <f t="shared" si="23"/>
        <v>16.304935575808067</v>
      </c>
      <c r="Y51" s="3">
        <f t="shared" si="24"/>
        <v>14.534364015881216</v>
      </c>
      <c r="Z51" s="3">
        <f t="shared" si="25"/>
        <v>12.824847574890239</v>
      </c>
      <c r="AA51" s="3">
        <f t="shared" si="26"/>
        <v>11.160679169322712</v>
      </c>
      <c r="AB51" s="3">
        <f t="shared" si="27"/>
        <v>9.5290089461698333</v>
      </c>
      <c r="AC51" s="3">
        <f t="shared" si="28"/>
        <v>7.9196140507692636</v>
      </c>
      <c r="AD51" s="3">
        <f t="shared" si="29"/>
        <v>6.3246615043604466</v>
      </c>
      <c r="AE51" s="3">
        <f t="shared" si="30"/>
        <v>4.7384430329901406</v>
      </c>
      <c r="AF51" s="3">
        <f t="shared" si="31"/>
        <v>3.1570628006217953</v>
      </c>
      <c r="AG51" s="3">
        <f t="shared" si="32"/>
        <v>1.5780652019967452</v>
      </c>
      <c r="AH51" s="3">
        <v>0</v>
      </c>
      <c r="AI51"/>
      <c r="AJ51"/>
      <c r="AK51"/>
      <c r="AL51"/>
      <c r="AO51" s="17"/>
      <c r="AP51" s="3">
        <f t="shared" si="33"/>
        <v>-358800000</v>
      </c>
      <c r="AQ51" s="3">
        <f t="shared" si="34"/>
        <v>-253945370.35684156</v>
      </c>
      <c r="AR51" s="3">
        <f t="shared" si="35"/>
        <v>-230833237.03476143</v>
      </c>
      <c r="AS51" s="3">
        <f t="shared" si="36"/>
        <v>-209206123.58088186</v>
      </c>
      <c r="AT51" s="3">
        <f t="shared" si="37"/>
        <v>-189355095.27320743</v>
      </c>
      <c r="AU51" s="3">
        <f t="shared" si="38"/>
        <v>-171369900.86145613</v>
      </c>
      <c r="AV51" s="3">
        <f t="shared" si="39"/>
        <v>-155202392.42539403</v>
      </c>
      <c r="AW51" s="3">
        <f t="shared" si="40"/>
        <v>-140722340.49425352</v>
      </c>
      <c r="AX51" s="3">
        <f t="shared" si="41"/>
        <v>-127758637.60323822</v>
      </c>
      <c r="AY51" s="3">
        <f t="shared" si="42"/>
        <v>-116126460.04702671</v>
      </c>
      <c r="AZ51" s="3">
        <f t="shared" si="43"/>
        <v>-105643552.0774141</v>
      </c>
      <c r="BA51" s="3">
        <f t="shared" si="44"/>
        <v>-96139021.40730454</v>
      </c>
      <c r="BB51" s="3">
        <f t="shared" si="45"/>
        <v>-87457394.946513921</v>
      </c>
      <c r="BC51" s="3">
        <f t="shared" si="46"/>
        <v>-79459891.963970199</v>
      </c>
      <c r="BD51" s="3">
        <f t="shared" si="47"/>
        <v>-72024198.449158996</v>
      </c>
      <c r="BE51" s="3">
        <f t="shared" si="48"/>
        <v>-65043532.922585517</v>
      </c>
      <c r="BF51" s="3">
        <f t="shared" si="49"/>
        <v>-58425460.763104543</v>
      </c>
      <c r="BG51" s="3">
        <f t="shared" si="50"/>
        <v>-52090700.250141382</v>
      </c>
      <c r="BH51" s="3">
        <f t="shared" si="51"/>
        <v>-45972030.181745447</v>
      </c>
      <c r="BI51" s="3">
        <f t="shared" si="52"/>
        <v>-40013326.628654405</v>
      </c>
      <c r="BJ51" s="3">
        <f t="shared" si="53"/>
        <v>-34168705.284296073</v>
      </c>
      <c r="BK51" s="3">
        <f t="shared" si="54"/>
        <v>-28401714.125140134</v>
      </c>
      <c r="BL51" s="3">
        <f t="shared" si="55"/>
        <v>-22684502.92217005</v>
      </c>
      <c r="BM51" s="3">
        <f t="shared" si="56"/>
        <v>-16996890.087553654</v>
      </c>
      <c r="BN51" s="3">
        <f t="shared" si="57"/>
        <v>-11325254.588542067</v>
      </c>
      <c r="BO51" s="3">
        <f t="shared" si="58"/>
        <v>-5661203.0742225396</v>
      </c>
      <c r="BP51" s="3">
        <f t="shared" si="59"/>
        <v>0</v>
      </c>
      <c r="BW51" s="17"/>
      <c r="BX51" s="3">
        <f t="shared" si="60"/>
        <v>0.17426273458445043</v>
      </c>
      <c r="BY51" s="3">
        <f t="shared" ref="BY51:CW51" si="93">$C$19/($C$20-$C$21*BX51)</f>
        <v>0.17972039376148968</v>
      </c>
      <c r="BZ51" s="3">
        <f t="shared" si="93"/>
        <v>0.17989684606081083</v>
      </c>
      <c r="CA51" s="3">
        <f t="shared" si="93"/>
        <v>0.179902556745832</v>
      </c>
      <c r="CB51" s="3">
        <f t="shared" si="93"/>
        <v>0.17990274157194241</v>
      </c>
      <c r="CC51" s="3">
        <f t="shared" si="93"/>
        <v>0.17990274755383903</v>
      </c>
      <c r="CD51" s="3">
        <f t="shared" si="93"/>
        <v>0.17990274774744311</v>
      </c>
      <c r="CE51" s="3">
        <f t="shared" si="93"/>
        <v>0.1799027477537091</v>
      </c>
      <c r="CF51" s="3">
        <f t="shared" si="93"/>
        <v>0.17990274775391188</v>
      </c>
      <c r="CG51" s="3">
        <f t="shared" si="93"/>
        <v>0.17990274775391843</v>
      </c>
      <c r="CH51" s="3">
        <f t="shared" si="93"/>
        <v>0.17990274775391865</v>
      </c>
      <c r="CI51" s="3">
        <f t="shared" si="93"/>
        <v>0.17990274775391865</v>
      </c>
      <c r="CJ51" s="3">
        <f t="shared" si="93"/>
        <v>0.17990274775391865</v>
      </c>
      <c r="CK51" s="3">
        <f t="shared" si="93"/>
        <v>0.17990274775391865</v>
      </c>
      <c r="CL51" s="3">
        <f t="shared" si="93"/>
        <v>0.17990274775391865</v>
      </c>
      <c r="CM51" s="3">
        <f t="shared" si="93"/>
        <v>0.17990274775391865</v>
      </c>
      <c r="CN51" s="3">
        <f t="shared" si="93"/>
        <v>0.17990274775391865</v>
      </c>
      <c r="CO51" s="3">
        <f t="shared" si="93"/>
        <v>0.17990274775391865</v>
      </c>
      <c r="CP51" s="3">
        <f t="shared" si="93"/>
        <v>0.17990274775391865</v>
      </c>
      <c r="CQ51" s="3">
        <f t="shared" si="93"/>
        <v>0.17990274775391865</v>
      </c>
      <c r="CR51" s="3">
        <f t="shared" si="93"/>
        <v>0.17990274775391865</v>
      </c>
      <c r="CS51" s="3">
        <f t="shared" si="93"/>
        <v>0.17990274775391865</v>
      </c>
      <c r="CT51" s="3">
        <f t="shared" si="93"/>
        <v>0.17990274775391865</v>
      </c>
      <c r="CU51" s="3">
        <f t="shared" si="93"/>
        <v>0.17990274775391865</v>
      </c>
      <c r="CV51" s="3">
        <f t="shared" si="93"/>
        <v>0.17990274775391865</v>
      </c>
      <c r="CW51" s="3">
        <f t="shared" si="93"/>
        <v>0.17990274775391865</v>
      </c>
      <c r="CX51" s="3">
        <v>0</v>
      </c>
      <c r="DE51" s="17"/>
      <c r="DF51" s="3">
        <f t="shared" si="62"/>
        <v>65.147453083109909</v>
      </c>
      <c r="DG51" s="3">
        <f t="shared" si="62"/>
        <v>59.261350339352262</v>
      </c>
      <c r="DH51" s="3">
        <f t="shared" si="63"/>
        <v>53.928486952637634</v>
      </c>
      <c r="DI51" s="3">
        <f t="shared" si="64"/>
        <v>48.916871887273899</v>
      </c>
      <c r="DJ51" s="3">
        <f t="shared" si="65"/>
        <v>44.294305119189396</v>
      </c>
      <c r="DK51" s="3">
        <f t="shared" si="66"/>
        <v>40.091425065012338</v>
      </c>
      <c r="DL51" s="3">
        <f t="shared" si="67"/>
        <v>36.304765984110546</v>
      </c>
      <c r="DM51" s="3">
        <f t="shared" si="68"/>
        <v>32.909294660894012</v>
      </c>
      <c r="DN51" s="3">
        <f t="shared" si="69"/>
        <v>29.868434026794304</v>
      </c>
      <c r="DO51" s="3">
        <f t="shared" si="70"/>
        <v>27.140959135920987</v>
      </c>
      <c r="DP51" s="3">
        <f t="shared" si="71"/>
        <v>24.685290230941515</v>
      </c>
      <c r="DQ51" s="3">
        <f t="shared" si="72"/>
        <v>22.46191376857626</v>
      </c>
      <c r="DR51" s="3">
        <f t="shared" si="73"/>
        <v>20.434578203903222</v>
      </c>
      <c r="DS51" s="3">
        <f t="shared" si="74"/>
        <v>18.570747765558039</v>
      </c>
      <c r="DT51" s="3">
        <f t="shared" si="75"/>
        <v>16.84164179589013</v>
      </c>
      <c r="DU51" s="3">
        <f t="shared" si="76"/>
        <v>15.222066717425246</v>
      </c>
      <c r="DV51" s="3">
        <f t="shared" si="77"/>
        <v>13.690163552495354</v>
      </c>
      <c r="DW51" s="3">
        <f t="shared" si="78"/>
        <v>12.227138697633283</v>
      </c>
      <c r="DX51" s="3">
        <f t="shared" si="79"/>
        <v>10.81701072552916</v>
      </c>
      <c r="DY51" s="3">
        <f t="shared" si="80"/>
        <v>9.4463842765350865</v>
      </c>
      <c r="DZ51" s="3">
        <f t="shared" si="81"/>
        <v>8.1042486172859007</v>
      </c>
      <c r="EA51" s="3">
        <f t="shared" si="82"/>
        <v>6.7817900675213867</v>
      </c>
      <c r="EB51" s="3">
        <f t="shared" si="83"/>
        <v>5.4722025826501079</v>
      </c>
      <c r="EC51" s="3">
        <f t="shared" si="84"/>
        <v>4.1704787603265974</v>
      </c>
      <c r="ED51" s="3">
        <f t="shared" si="85"/>
        <v>2.8731645346477381</v>
      </c>
      <c r="EE51" s="3">
        <f t="shared" si="86"/>
        <v>1.5780652019967452</v>
      </c>
      <c r="EF51" s="3">
        <v>0</v>
      </c>
    </row>
    <row r="52" spans="7:136" x14ac:dyDescent="0.3">
      <c r="G52" s="16"/>
      <c r="H52" s="3">
        <f t="shared" si="6"/>
        <v>100</v>
      </c>
      <c r="I52" s="3">
        <f t="shared" si="8"/>
        <v>71.598014868956199</v>
      </c>
      <c r="J52" s="3">
        <f t="shared" si="9"/>
        <v>65.747211455500704</v>
      </c>
      <c r="K52" s="3">
        <f t="shared" si="10"/>
        <v>60.186004617658341</v>
      </c>
      <c r="L52" s="3">
        <f t="shared" si="11"/>
        <v>54.988704503397244</v>
      </c>
      <c r="M52" s="3">
        <f t="shared" si="12"/>
        <v>50.192019686171093</v>
      </c>
      <c r="N52" s="3">
        <f t="shared" si="13"/>
        <v>45.80264394616097</v>
      </c>
      <c r="O52" s="3">
        <f t="shared" si="14"/>
        <v>41.806068208063614</v>
      </c>
      <c r="P52" s="3">
        <f t="shared" si="15"/>
        <v>38.174417255635049</v>
      </c>
      <c r="Q52" s="3">
        <f t="shared" si="16"/>
        <v>34.872520816300074</v>
      </c>
      <c r="R52" s="3">
        <f t="shared" si="17"/>
        <v>31.862201388305323</v>
      </c>
      <c r="S52" s="3">
        <f t="shared" si="18"/>
        <v>29.105086057210418</v>
      </c>
      <c r="T52" s="3">
        <f t="shared" si="19"/>
        <v>26.564324229329277</v>
      </c>
      <c r="U52" s="3">
        <f t="shared" si="20"/>
        <v>24.205554374141624</v>
      </c>
      <c r="V52" s="3">
        <f t="shared" si="21"/>
        <v>21.99738743351644</v>
      </c>
      <c r="W52" s="3">
        <f t="shared" si="22"/>
        <v>19.911598813215814</v>
      </c>
      <c r="X52" s="3">
        <f t="shared" si="23"/>
        <v>17.923158158164256</v>
      </c>
      <c r="Y52" s="3">
        <f t="shared" si="24"/>
        <v>16.010178626401807</v>
      </c>
      <c r="Z52" s="3">
        <f t="shared" si="25"/>
        <v>14.153832875285532</v>
      </c>
      <c r="AA52" s="3">
        <f t="shared" si="26"/>
        <v>12.33825812673763</v>
      </c>
      <c r="AB52" s="3">
        <f t="shared" si="27"/>
        <v>10.550454556693083</v>
      </c>
      <c r="AC52" s="3">
        <f t="shared" si="28"/>
        <v>8.7801679005321276</v>
      </c>
      <c r="AD52" s="3">
        <f t="shared" si="29"/>
        <v>7.0197377540148853</v>
      </c>
      <c r="AE52" s="3">
        <f t="shared" si="30"/>
        <v>5.2638878243062397</v>
      </c>
      <c r="AF52" s="3">
        <f t="shared" si="31"/>
        <v>3.5094344051480513</v>
      </c>
      <c r="AG52" s="3">
        <f t="shared" si="32"/>
        <v>1.7548959133431512</v>
      </c>
      <c r="AH52" s="3">
        <v>0</v>
      </c>
      <c r="AI52"/>
      <c r="AJ52"/>
      <c r="AK52"/>
      <c r="AL52"/>
      <c r="AO52" s="17"/>
      <c r="AP52" s="3">
        <f t="shared" si="33"/>
        <v>-358800000</v>
      </c>
      <c r="AQ52" s="3">
        <f t="shared" si="34"/>
        <v>-256725240.04723436</v>
      </c>
      <c r="AR52" s="3">
        <f t="shared" si="35"/>
        <v>-235623053.49507529</v>
      </c>
      <c r="AS52" s="3">
        <f t="shared" si="36"/>
        <v>-215598123.9670321</v>
      </c>
      <c r="AT52" s="3">
        <f t="shared" si="37"/>
        <v>-196914979.99039307</v>
      </c>
      <c r="AU52" s="3">
        <f t="shared" si="38"/>
        <v>-179698050.48999703</v>
      </c>
      <c r="AV52" s="3">
        <f t="shared" si="39"/>
        <v>-163962895.46464407</v>
      </c>
      <c r="AW52" s="3">
        <f t="shared" si="40"/>
        <v>-149649935.04117554</v>
      </c>
      <c r="AX52" s="3">
        <f t="shared" si="41"/>
        <v>-136653326.20151615</v>
      </c>
      <c r="AY52" s="3">
        <f t="shared" si="42"/>
        <v>-124842762.75232185</v>
      </c>
      <c r="AZ52" s="3">
        <f t="shared" si="43"/>
        <v>-114078565.16774574</v>
      </c>
      <c r="BA52" s="3">
        <f t="shared" si="44"/>
        <v>-104221402.83080386</v>
      </c>
      <c r="BB52" s="3">
        <f t="shared" si="45"/>
        <v>-95138127.977337256</v>
      </c>
      <c r="BC52" s="3">
        <f t="shared" si="46"/>
        <v>-86704987.482345015</v>
      </c>
      <c r="BD52" s="3">
        <f t="shared" si="47"/>
        <v>-78809173.140814632</v>
      </c>
      <c r="BE52" s="3">
        <f t="shared" si="48"/>
        <v>-71349386.531713888</v>
      </c>
      <c r="BF52" s="3">
        <f t="shared" si="49"/>
        <v>-64235867.425511934</v>
      </c>
      <c r="BG52" s="3">
        <f t="shared" si="50"/>
        <v>-57390166.46575889</v>
      </c>
      <c r="BH52" s="3">
        <f t="shared" si="51"/>
        <v>-50744822.260973081</v>
      </c>
      <c r="BI52" s="3">
        <f t="shared" si="52"/>
        <v>-44243016.684452519</v>
      </c>
      <c r="BJ52" s="3">
        <f t="shared" si="53"/>
        <v>-37838219.037250467</v>
      </c>
      <c r="BK52" s="3">
        <f t="shared" si="54"/>
        <v>-31493782.611557394</v>
      </c>
      <c r="BL52" s="3">
        <f t="shared" si="55"/>
        <v>-25182423.184186891</v>
      </c>
      <c r="BM52" s="3">
        <f t="shared" si="56"/>
        <v>-18885489.208299771</v>
      </c>
      <c r="BN52" s="3">
        <f t="shared" si="57"/>
        <v>-12591932.294406462</v>
      </c>
      <c r="BO52" s="3">
        <f t="shared" si="58"/>
        <v>-6296909.573499715</v>
      </c>
      <c r="BP52" s="3">
        <f t="shared" si="59"/>
        <v>0</v>
      </c>
      <c r="BW52" s="17"/>
      <c r="BX52" s="3">
        <f t="shared" si="60"/>
        <v>0.17426273458445043</v>
      </c>
      <c r="BY52" s="3">
        <f t="shared" ref="BY52:CW52" si="94">$C$19/($C$20-$C$21*BX52)</f>
        <v>0.17972039376148968</v>
      </c>
      <c r="BZ52" s="3">
        <f t="shared" si="94"/>
        <v>0.17989684606081083</v>
      </c>
      <c r="CA52" s="3">
        <f t="shared" si="94"/>
        <v>0.179902556745832</v>
      </c>
      <c r="CB52" s="3">
        <f t="shared" si="94"/>
        <v>0.17990274157194241</v>
      </c>
      <c r="CC52" s="3">
        <f t="shared" si="94"/>
        <v>0.17990274755383903</v>
      </c>
      <c r="CD52" s="3">
        <f t="shared" si="94"/>
        <v>0.17990274774744311</v>
      </c>
      <c r="CE52" s="3">
        <f t="shared" si="94"/>
        <v>0.1799027477537091</v>
      </c>
      <c r="CF52" s="3">
        <f t="shared" si="94"/>
        <v>0.17990274775391188</v>
      </c>
      <c r="CG52" s="3">
        <f t="shared" si="94"/>
        <v>0.17990274775391843</v>
      </c>
      <c r="CH52" s="3">
        <f t="shared" si="94"/>
        <v>0.17990274775391865</v>
      </c>
      <c r="CI52" s="3">
        <f t="shared" si="94"/>
        <v>0.17990274775391865</v>
      </c>
      <c r="CJ52" s="3">
        <f t="shared" si="94"/>
        <v>0.17990274775391865</v>
      </c>
      <c r="CK52" s="3">
        <f t="shared" si="94"/>
        <v>0.17990274775391865</v>
      </c>
      <c r="CL52" s="3">
        <f t="shared" si="94"/>
        <v>0.17990274775391865</v>
      </c>
      <c r="CM52" s="3">
        <f t="shared" si="94"/>
        <v>0.17990274775391865</v>
      </c>
      <c r="CN52" s="3">
        <f t="shared" si="94"/>
        <v>0.17990274775391865</v>
      </c>
      <c r="CO52" s="3">
        <f t="shared" si="94"/>
        <v>0.17990274775391865</v>
      </c>
      <c r="CP52" s="3">
        <f t="shared" si="94"/>
        <v>0.17990274775391865</v>
      </c>
      <c r="CQ52" s="3">
        <f t="shared" si="94"/>
        <v>0.17990274775391865</v>
      </c>
      <c r="CR52" s="3">
        <f t="shared" si="94"/>
        <v>0.17990274775391865</v>
      </c>
      <c r="CS52" s="3">
        <f t="shared" si="94"/>
        <v>0.17990274775391865</v>
      </c>
      <c r="CT52" s="3">
        <f t="shared" si="94"/>
        <v>0.17990274775391865</v>
      </c>
      <c r="CU52" s="3">
        <f t="shared" si="94"/>
        <v>0.17990274775391865</v>
      </c>
      <c r="CV52" s="3">
        <f t="shared" si="94"/>
        <v>0.17990274775391865</v>
      </c>
      <c r="CW52" s="3">
        <f t="shared" si="94"/>
        <v>0.17990274775391865</v>
      </c>
      <c r="CX52" s="3">
        <v>0</v>
      </c>
      <c r="DE52" s="17"/>
      <c r="DF52" s="3">
        <f t="shared" si="62"/>
        <v>65.147453083109909</v>
      </c>
      <c r="DG52" s="3">
        <f t="shared" si="62"/>
        <v>59.78190013745369</v>
      </c>
      <c r="DH52" s="3">
        <f t="shared" si="63"/>
        <v>54.919939047782577</v>
      </c>
      <c r="DI52" s="3">
        <f t="shared" si="64"/>
        <v>50.293396085356129</v>
      </c>
      <c r="DJ52" s="3">
        <f t="shared" si="65"/>
        <v>45.959022556822163</v>
      </c>
      <c r="DK52" s="3">
        <f t="shared" si="66"/>
        <v>41.951998195026526</v>
      </c>
      <c r="DL52" s="3">
        <f t="shared" si="67"/>
        <v>38.2816174030133</v>
      </c>
      <c r="DM52" s="3">
        <f t="shared" si="68"/>
        <v>34.938385649878263</v>
      </c>
      <c r="DN52" s="3">
        <f t="shared" si="69"/>
        <v>31.900754939677178</v>
      </c>
      <c r="DO52" s="3">
        <f t="shared" si="70"/>
        <v>29.140423237055231</v>
      </c>
      <c r="DP52" s="3">
        <f t="shared" si="71"/>
        <v>26.626116432998902</v>
      </c>
      <c r="DQ52" s="3">
        <f t="shared" si="72"/>
        <v>24.326091136128085</v>
      </c>
      <c r="DR52" s="3">
        <f t="shared" si="73"/>
        <v>22.209678486514314</v>
      </c>
      <c r="DS52" s="3">
        <f t="shared" si="74"/>
        <v>20.248163931444495</v>
      </c>
      <c r="DT52" s="3">
        <f t="shared" si="75"/>
        <v>18.415236094845248</v>
      </c>
      <c r="DU52" s="3">
        <f t="shared" si="76"/>
        <v>16.687173412134001</v>
      </c>
      <c r="DV52" s="3">
        <f t="shared" si="77"/>
        <v>15.042883031243512</v>
      </c>
      <c r="DW52" s="3">
        <f t="shared" si="78"/>
        <v>13.463865200888192</v>
      </c>
      <c r="DX52" s="3">
        <f t="shared" si="79"/>
        <v>11.934146335788316</v>
      </c>
      <c r="DY52" s="3">
        <f t="shared" si="80"/>
        <v>10.440202361935693</v>
      </c>
      <c r="DZ52" s="3">
        <f t="shared" si="81"/>
        <v>8.9708782256465991</v>
      </c>
      <c r="EA52" s="3">
        <f t="shared" si="82"/>
        <v>7.5172977900729281</v>
      </c>
      <c r="EB52" s="3">
        <f t="shared" si="83"/>
        <v>6.0727498705537961</v>
      </c>
      <c r="EC52" s="3">
        <f t="shared" si="84"/>
        <v>4.6325309317579659</v>
      </c>
      <c r="ED52" s="3">
        <f t="shared" si="85"/>
        <v>3.1937238083154957</v>
      </c>
      <c r="EE52" s="3">
        <f t="shared" si="86"/>
        <v>1.7548959133431512</v>
      </c>
      <c r="EF52" s="3">
        <v>0</v>
      </c>
    </row>
    <row r="53" spans="7:136" x14ac:dyDescent="0.3">
      <c r="G53" s="16"/>
      <c r="H53" s="3">
        <f t="shared" si="6"/>
        <v>100</v>
      </c>
      <c r="I53" s="3">
        <f t="shared" si="8"/>
        <v>72.180413967485038</v>
      </c>
      <c r="J53" s="3">
        <f t="shared" si="9"/>
        <v>66.765248748196882</v>
      </c>
      <c r="K53" s="3">
        <f t="shared" si="10"/>
        <v>61.569771593293986</v>
      </c>
      <c r="L53" s="3">
        <f t="shared" si="11"/>
        <v>56.657963482219728</v>
      </c>
      <c r="M53" s="3">
        <f t="shared" si="12"/>
        <v>52.067510981495857</v>
      </c>
      <c r="N53" s="3">
        <f t="shared" si="13"/>
        <v>47.813085832155728</v>
      </c>
      <c r="O53" s="3">
        <f t="shared" si="14"/>
        <v>43.891366609232755</v>
      </c>
      <c r="P53" s="3">
        <f t="shared" si="15"/>
        <v>40.28622107194105</v>
      </c>
      <c r="Q53" s="3">
        <f t="shared" si="16"/>
        <v>36.97322677384193</v>
      </c>
      <c r="R53" s="3">
        <f t="shared" si="17"/>
        <v>33.923238742169076</v>
      </c>
      <c r="S53" s="3">
        <f t="shared" si="18"/>
        <v>31.105014093359635</v>
      </c>
      <c r="T53" s="3">
        <f t="shared" si="19"/>
        <v>28.487039359378748</v>
      </c>
      <c r="U53" s="3">
        <f t="shared" si="20"/>
        <v>26.038744308686329</v>
      </c>
      <c r="V53" s="3">
        <f t="shared" si="21"/>
        <v>23.731275087563894</v>
      </c>
      <c r="W53" s="3">
        <f t="shared" si="22"/>
        <v>21.537969226431084</v>
      </c>
      <c r="X53" s="3">
        <f t="shared" si="23"/>
        <v>19.434640885361308</v>
      </c>
      <c r="Y53" s="3">
        <f t="shared" si="24"/>
        <v>17.399753286825465</v>
      </c>
      <c r="Z53" s="3">
        <f t="shared" si="25"/>
        <v>15.414528469571955</v>
      </c>
      <c r="AA53" s="3">
        <f t="shared" si="26"/>
        <v>13.463021979476359</v>
      </c>
      <c r="AB53" s="3">
        <f t="shared" si="27"/>
        <v>11.532170927233667</v>
      </c>
      <c r="AC53" s="3">
        <f t="shared" si="28"/>
        <v>9.6118072885292687</v>
      </c>
      <c r="AD53" s="3">
        <f t="shared" si="29"/>
        <v>7.6946145343955115</v>
      </c>
      <c r="AE53" s="3">
        <f t="shared" si="30"/>
        <v>5.7759959671277237</v>
      </c>
      <c r="AF53" s="3">
        <f t="shared" si="31"/>
        <v>3.8538200152055717</v>
      </c>
      <c r="AG53" s="3">
        <f t="shared" si="32"/>
        <v>1.928014401836234</v>
      </c>
      <c r="AH53" s="3">
        <v>0</v>
      </c>
      <c r="AI53"/>
      <c r="AJ53"/>
      <c r="AK53"/>
      <c r="AL53"/>
      <c r="AO53" s="17"/>
      <c r="AP53" s="3">
        <f t="shared" si="33"/>
        <v>-358800000</v>
      </c>
      <c r="AQ53" s="3">
        <f t="shared" si="34"/>
        <v>-258858336.4619073</v>
      </c>
      <c r="AR53" s="3">
        <f t="shared" si="35"/>
        <v>-239342866.2106871</v>
      </c>
      <c r="AS53" s="3">
        <f t="shared" si="36"/>
        <v>-220640088.23640254</v>
      </c>
      <c r="AT53" s="3">
        <f t="shared" si="37"/>
        <v>-202980350.9353323</v>
      </c>
      <c r="AU53" s="3">
        <f t="shared" si="38"/>
        <v>-186495726.11399513</v>
      </c>
      <c r="AV53" s="3">
        <f t="shared" si="39"/>
        <v>-171234036.42602572</v>
      </c>
      <c r="AW53" s="3">
        <f t="shared" si="40"/>
        <v>-157178390.82206324</v>
      </c>
      <c r="AX53" s="3">
        <f t="shared" si="41"/>
        <v>-144266568.15260807</v>
      </c>
      <c r="AY53" s="3">
        <f t="shared" si="42"/>
        <v>-132407516.5885945</v>
      </c>
      <c r="AZ53" s="3">
        <f t="shared" si="43"/>
        <v>-121494144.9848804</v>
      </c>
      <c r="BA53" s="3">
        <f t="shared" si="44"/>
        <v>-111412600.09316237</v>
      </c>
      <c r="BB53" s="3">
        <f t="shared" si="45"/>
        <v>-102048646.62171212</v>
      </c>
      <c r="BC53" s="3">
        <f t="shared" si="46"/>
        <v>-93291856.554989159</v>
      </c>
      <c r="BD53" s="3">
        <f t="shared" si="47"/>
        <v>-85038246.377073154</v>
      </c>
      <c r="BE53" s="3">
        <f t="shared" si="48"/>
        <v>-77191877.381845847</v>
      </c>
      <c r="BF53" s="3">
        <f t="shared" si="49"/>
        <v>-69665805.282792568</v>
      </c>
      <c r="BG53" s="3">
        <f t="shared" si="50"/>
        <v>-62382650.785513848</v>
      </c>
      <c r="BH53" s="3">
        <f t="shared" si="51"/>
        <v>-55274966.880265467</v>
      </c>
      <c r="BI53" s="3">
        <f t="shared" si="52"/>
        <v>-48285498.742130496</v>
      </c>
      <c r="BJ53" s="3">
        <f t="shared" si="53"/>
        <v>-41367363.959402457</v>
      </c>
      <c r="BK53" s="3">
        <f t="shared" si="54"/>
        <v>-34484121.284989662</v>
      </c>
      <c r="BL53" s="3">
        <f t="shared" si="55"/>
        <v>-27609645.377967142</v>
      </c>
      <c r="BM53" s="3">
        <f t="shared" si="56"/>
        <v>-20727687.740955885</v>
      </c>
      <c r="BN53" s="3">
        <f t="shared" si="57"/>
        <v>-13830989.793334188</v>
      </c>
      <c r="BO53" s="3">
        <f t="shared" si="58"/>
        <v>-6919835.5653367601</v>
      </c>
      <c r="BP53" s="3">
        <f t="shared" si="59"/>
        <v>0</v>
      </c>
      <c r="BW53" s="17"/>
      <c r="BX53" s="3">
        <f t="shared" si="60"/>
        <v>0.17426273458445043</v>
      </c>
      <c r="BY53" s="3">
        <f t="shared" ref="BY53:CW53" si="95">$C$19/($C$20-$C$21*BX53)</f>
        <v>0.17972039376148968</v>
      </c>
      <c r="BZ53" s="3">
        <f t="shared" si="95"/>
        <v>0.17989684606081083</v>
      </c>
      <c r="CA53" s="3">
        <f t="shared" si="95"/>
        <v>0.179902556745832</v>
      </c>
      <c r="CB53" s="3">
        <f t="shared" si="95"/>
        <v>0.17990274157194241</v>
      </c>
      <c r="CC53" s="3">
        <f t="shared" si="95"/>
        <v>0.17990274755383903</v>
      </c>
      <c r="CD53" s="3">
        <f t="shared" si="95"/>
        <v>0.17990274774744311</v>
      </c>
      <c r="CE53" s="3">
        <f t="shared" si="95"/>
        <v>0.1799027477537091</v>
      </c>
      <c r="CF53" s="3">
        <f t="shared" si="95"/>
        <v>0.17990274775391188</v>
      </c>
      <c r="CG53" s="3">
        <f t="shared" si="95"/>
        <v>0.17990274775391843</v>
      </c>
      <c r="CH53" s="3">
        <f t="shared" si="95"/>
        <v>0.17990274775391865</v>
      </c>
      <c r="CI53" s="3">
        <f t="shared" si="95"/>
        <v>0.17990274775391865</v>
      </c>
      <c r="CJ53" s="3">
        <f t="shared" si="95"/>
        <v>0.17990274775391865</v>
      </c>
      <c r="CK53" s="3">
        <f t="shared" si="95"/>
        <v>0.17990274775391865</v>
      </c>
      <c r="CL53" s="3">
        <f t="shared" si="95"/>
        <v>0.17990274775391865</v>
      </c>
      <c r="CM53" s="3">
        <f t="shared" si="95"/>
        <v>0.17990274775391865</v>
      </c>
      <c r="CN53" s="3">
        <f t="shared" si="95"/>
        <v>0.17990274775391865</v>
      </c>
      <c r="CO53" s="3">
        <f t="shared" si="95"/>
        <v>0.17990274775391865</v>
      </c>
      <c r="CP53" s="3">
        <f t="shared" si="95"/>
        <v>0.17990274775391865</v>
      </c>
      <c r="CQ53" s="3">
        <f t="shared" si="95"/>
        <v>0.17990274775391865</v>
      </c>
      <c r="CR53" s="3">
        <f t="shared" si="95"/>
        <v>0.17990274775391865</v>
      </c>
      <c r="CS53" s="3">
        <f t="shared" si="95"/>
        <v>0.17990274775391865</v>
      </c>
      <c r="CT53" s="3">
        <f t="shared" si="95"/>
        <v>0.17990274775391865</v>
      </c>
      <c r="CU53" s="3">
        <f t="shared" si="95"/>
        <v>0.17990274775391865</v>
      </c>
      <c r="CV53" s="3">
        <f t="shared" si="95"/>
        <v>0.17990274775391865</v>
      </c>
      <c r="CW53" s="3">
        <f t="shared" si="95"/>
        <v>0.17990274775391865</v>
      </c>
      <c r="CX53" s="3">
        <v>0</v>
      </c>
      <c r="DE53" s="17"/>
      <c r="DF53" s="3">
        <f t="shared" si="62"/>
        <v>65.147453083109909</v>
      </c>
      <c r="DG53" s="3">
        <f t="shared" si="62"/>
        <v>60.181337172875295</v>
      </c>
      <c r="DH53" s="3">
        <f t="shared" si="63"/>
        <v>55.689041025878794</v>
      </c>
      <c r="DI53" s="3">
        <f t="shared" si="64"/>
        <v>51.376859102830672</v>
      </c>
      <c r="DJ53" s="3">
        <f t="shared" si="65"/>
        <v>47.290875509821404</v>
      </c>
      <c r="DK53" s="3">
        <f t="shared" si="66"/>
        <v>43.465805471263508</v>
      </c>
      <c r="DL53" s="3">
        <f t="shared" si="67"/>
        <v>39.916908376764383</v>
      </c>
      <c r="DM53" s="3">
        <f t="shared" si="68"/>
        <v>36.643764741777183</v>
      </c>
      <c r="DN53" s="3">
        <f t="shared" si="69"/>
        <v>33.634635981998386</v>
      </c>
      <c r="DO53" s="3">
        <f t="shared" si="70"/>
        <v>30.87034291141353</v>
      </c>
      <c r="DP53" s="3">
        <f t="shared" si="71"/>
        <v>28.327361237849313</v>
      </c>
      <c r="DQ53" s="3">
        <f t="shared" si="72"/>
        <v>25.980117437233368</v>
      </c>
      <c r="DR53" s="3">
        <f t="shared" si="73"/>
        <v>23.802597710184365</v>
      </c>
      <c r="DS53" s="3">
        <f t="shared" si="74"/>
        <v>21.769422712729469</v>
      </c>
      <c r="DT53" s="3">
        <f t="shared" si="75"/>
        <v>19.856535242689599</v>
      </c>
      <c r="DU53" s="3">
        <f t="shared" si="76"/>
        <v>18.041623929543935</v>
      </c>
      <c r="DV53" s="3">
        <f t="shared" si="77"/>
        <v>16.304377458821129</v>
      </c>
      <c r="DW53" s="3">
        <f t="shared" si="78"/>
        <v>14.626637259818462</v>
      </c>
      <c r="DX53" s="3">
        <f t="shared" si="79"/>
        <v>12.992493822392758</v>
      </c>
      <c r="DY53" s="3">
        <f t="shared" si="80"/>
        <v>11.388352742099165</v>
      </c>
      <c r="DZ53" s="3">
        <f t="shared" si="81"/>
        <v>9.8029803851461086</v>
      </c>
      <c r="EA53" s="3">
        <f t="shared" si="82"/>
        <v>8.2275249908842767</v>
      </c>
      <c r="EB53" s="3">
        <f t="shared" si="83"/>
        <v>6.655496988893681</v>
      </c>
      <c r="EC53" s="3">
        <f t="shared" si="84"/>
        <v>5.082683157043193</v>
      </c>
      <c r="ED53" s="3">
        <f t="shared" si="85"/>
        <v>3.5069649266061056</v>
      </c>
      <c r="EE53" s="3">
        <f t="shared" si="86"/>
        <v>1.928014401836234</v>
      </c>
      <c r="EF53" s="3">
        <v>0</v>
      </c>
    </row>
    <row r="54" spans="7:136" x14ac:dyDescent="0.3">
      <c r="G54" s="16"/>
      <c r="H54" s="3">
        <f t="shared" si="6"/>
        <v>100</v>
      </c>
      <c r="I54" s="3">
        <f t="shared" si="8"/>
        <v>72.631967863616396</v>
      </c>
      <c r="J54" s="3">
        <f t="shared" si="9"/>
        <v>67.560902826101341</v>
      </c>
      <c r="K54" s="3">
        <f t="shared" si="10"/>
        <v>62.663602668604298</v>
      </c>
      <c r="L54" s="3">
        <f t="shared" si="11"/>
        <v>57.995130736384752</v>
      </c>
      <c r="M54" s="3">
        <f t="shared" si="12"/>
        <v>53.591502607157402</v>
      </c>
      <c r="N54" s="3">
        <f t="shared" si="13"/>
        <v>49.470813275540465</v>
      </c>
      <c r="O54" s="3">
        <f t="shared" si="14"/>
        <v>45.636024847720897</v>
      </c>
      <c r="P54" s="3">
        <f t="shared" si="15"/>
        <v>42.078361402737485</v>
      </c>
      <c r="Q54" s="3">
        <f t="shared" si="16"/>
        <v>38.78062522469898</v>
      </c>
      <c r="R54" s="3">
        <f t="shared" si="17"/>
        <v>35.720077130960846</v>
      </c>
      <c r="S54" s="3">
        <f t="shared" si="18"/>
        <v>32.870754777498945</v>
      </c>
      <c r="T54" s="3">
        <f t="shared" si="19"/>
        <v>30.205239802753482</v>
      </c>
      <c r="U54" s="3">
        <f t="shared" si="20"/>
        <v>27.695951843115907</v>
      </c>
      <c r="V54" s="3">
        <f t="shared" si="21"/>
        <v>25.316070435241343</v>
      </c>
      <c r="W54" s="3">
        <f t="shared" si="22"/>
        <v>23.04018428443031</v>
      </c>
      <c r="X54" s="3">
        <f t="shared" si="23"/>
        <v>20.844754066548944</v>
      </c>
      <c r="Y54" s="3">
        <f t="shared" si="24"/>
        <v>18.708456986856728</v>
      </c>
      <c r="Z54" s="3">
        <f t="shared" si="25"/>
        <v>16.612462069861138</v>
      </c>
      <c r="AA54" s="3">
        <f t="shared" si="26"/>
        <v>14.540665664714528</v>
      </c>
      <c r="AB54" s="3">
        <f t="shared" si="27"/>
        <v>12.479896939339914</v>
      </c>
      <c r="AC54" s="3">
        <f t="shared" si="28"/>
        <v>10.420083159984538</v>
      </c>
      <c r="AD54" s="3">
        <f t="shared" si="29"/>
        <v>8.3543450866293725</v>
      </c>
      <c r="AE54" s="3">
        <f t="shared" si="30"/>
        <v>6.2789762586838567</v>
      </c>
      <c r="AF54" s="3">
        <f t="shared" si="31"/>
        <v>4.1932508674593736</v>
      </c>
      <c r="AG54" s="3">
        <f t="shared" si="32"/>
        <v>2.0990098136859334</v>
      </c>
      <c r="AH54" s="3">
        <v>0</v>
      </c>
      <c r="AI54"/>
      <c r="AJ54"/>
      <c r="AK54"/>
      <c r="AL54"/>
      <c r="AO54" s="17"/>
      <c r="AP54" s="3">
        <f t="shared" si="33"/>
        <v>-358800000</v>
      </c>
      <c r="AQ54" s="3">
        <f t="shared" si="34"/>
        <v>-260506118.84853399</v>
      </c>
      <c r="AR54" s="3">
        <f t="shared" si="35"/>
        <v>-242241747.96014297</v>
      </c>
      <c r="AS54" s="3">
        <f t="shared" si="36"/>
        <v>-224617387.77948219</v>
      </c>
      <c r="AT54" s="3">
        <f t="shared" si="37"/>
        <v>-207832344.42480758</v>
      </c>
      <c r="AU54" s="3">
        <f t="shared" si="38"/>
        <v>-192014759.97020626</v>
      </c>
      <c r="AV54" s="3">
        <f t="shared" si="39"/>
        <v>-177226883.75780949</v>
      </c>
      <c r="AW54" s="3">
        <f t="shared" si="40"/>
        <v>-163476085.59602153</v>
      </c>
      <c r="AX54" s="3">
        <f t="shared" si="41"/>
        <v>-150727694.7163271</v>
      </c>
      <c r="AY54" s="3">
        <f t="shared" si="42"/>
        <v>-138917241.31025067</v>
      </c>
      <c r="AZ54" s="3">
        <f t="shared" si="43"/>
        <v>-127960912.1897261</v>
      </c>
      <c r="BA54" s="3">
        <f t="shared" si="44"/>
        <v>-117763858.44263642</v>
      </c>
      <c r="BB54" s="3">
        <f t="shared" si="45"/>
        <v>-108226461.05234757</v>
      </c>
      <c r="BC54" s="3">
        <f t="shared" si="46"/>
        <v>-99248876.875642389</v>
      </c>
      <c r="BD54" s="3">
        <f t="shared" si="47"/>
        <v>-90734250.952706203</v>
      </c>
      <c r="BE54" s="3">
        <f t="shared" si="48"/>
        <v>-82590963.382585928</v>
      </c>
      <c r="BF54" s="3">
        <f t="shared" si="49"/>
        <v>-74734224.378890887</v>
      </c>
      <c r="BG54" s="3">
        <f t="shared" si="50"/>
        <v>-67087263.543804467</v>
      </c>
      <c r="BH54" s="3">
        <f t="shared" si="51"/>
        <v>-59582289.310227953</v>
      </c>
      <c r="BI54" s="3">
        <f t="shared" si="52"/>
        <v>-52161324.555298515</v>
      </c>
      <c r="BJ54" s="3">
        <f t="shared" si="53"/>
        <v>-44776953.705962293</v>
      </c>
      <c r="BK54" s="3">
        <f t="shared" si="54"/>
        <v>-37392944.237475686</v>
      </c>
      <c r="BL54" s="3">
        <f t="shared" si="55"/>
        <v>-29984633.31726883</v>
      </c>
      <c r="BM54" s="3">
        <f t="shared" si="56"/>
        <v>-22538906.559729371</v>
      </c>
      <c r="BN54" s="3">
        <f t="shared" si="57"/>
        <v>-15053557.045858504</v>
      </c>
      <c r="BO54" s="3">
        <f t="shared" si="58"/>
        <v>-7535824.0435495405</v>
      </c>
      <c r="BP54" s="3">
        <f t="shared" si="59"/>
        <v>0</v>
      </c>
      <c r="BW54" s="17"/>
      <c r="BX54" s="3">
        <f t="shared" si="60"/>
        <v>0.17426273458445043</v>
      </c>
      <c r="BY54" s="3">
        <f t="shared" ref="BY54:CW54" si="96">$C$19/($C$20-$C$21*BX54)</f>
        <v>0.17972039376148968</v>
      </c>
      <c r="BZ54" s="3">
        <f t="shared" si="96"/>
        <v>0.17989684606081083</v>
      </c>
      <c r="CA54" s="3">
        <f t="shared" si="96"/>
        <v>0.179902556745832</v>
      </c>
      <c r="CB54" s="3">
        <f t="shared" si="96"/>
        <v>0.17990274157194241</v>
      </c>
      <c r="CC54" s="3">
        <f t="shared" si="96"/>
        <v>0.17990274755383903</v>
      </c>
      <c r="CD54" s="3">
        <f t="shared" si="96"/>
        <v>0.17990274774744311</v>
      </c>
      <c r="CE54" s="3">
        <f t="shared" si="96"/>
        <v>0.1799027477537091</v>
      </c>
      <c r="CF54" s="3">
        <f t="shared" si="96"/>
        <v>0.17990274775391188</v>
      </c>
      <c r="CG54" s="3">
        <f t="shared" si="96"/>
        <v>0.17990274775391843</v>
      </c>
      <c r="CH54" s="3">
        <f t="shared" si="96"/>
        <v>0.17990274775391865</v>
      </c>
      <c r="CI54" s="3">
        <f t="shared" si="96"/>
        <v>0.17990274775391865</v>
      </c>
      <c r="CJ54" s="3">
        <f t="shared" si="96"/>
        <v>0.17990274775391865</v>
      </c>
      <c r="CK54" s="3">
        <f t="shared" si="96"/>
        <v>0.17990274775391865</v>
      </c>
      <c r="CL54" s="3">
        <f t="shared" si="96"/>
        <v>0.17990274775391865</v>
      </c>
      <c r="CM54" s="3">
        <f t="shared" si="96"/>
        <v>0.17990274775391865</v>
      </c>
      <c r="CN54" s="3">
        <f t="shared" si="96"/>
        <v>0.17990274775391865</v>
      </c>
      <c r="CO54" s="3">
        <f t="shared" si="96"/>
        <v>0.17990274775391865</v>
      </c>
      <c r="CP54" s="3">
        <f t="shared" si="96"/>
        <v>0.17990274775391865</v>
      </c>
      <c r="CQ54" s="3">
        <f t="shared" si="96"/>
        <v>0.17990274775391865</v>
      </c>
      <c r="CR54" s="3">
        <f t="shared" si="96"/>
        <v>0.17990274775391865</v>
      </c>
      <c r="CS54" s="3">
        <f t="shared" si="96"/>
        <v>0.17990274775391865</v>
      </c>
      <c r="CT54" s="3">
        <f t="shared" si="96"/>
        <v>0.17990274775391865</v>
      </c>
      <c r="CU54" s="3">
        <f t="shared" si="96"/>
        <v>0.17990274775391865</v>
      </c>
      <c r="CV54" s="3">
        <f t="shared" si="96"/>
        <v>0.17990274775391865</v>
      </c>
      <c r="CW54" s="3">
        <f t="shared" si="96"/>
        <v>0.17990274775391865</v>
      </c>
      <c r="CX54" s="3">
        <v>0</v>
      </c>
      <c r="DE54" s="17"/>
      <c r="DF54" s="3">
        <f t="shared" si="62"/>
        <v>65.147453083109909</v>
      </c>
      <c r="DG54" s="3">
        <f t="shared" si="62"/>
        <v>60.489895804827718</v>
      </c>
      <c r="DH54" s="3">
        <f t="shared" si="63"/>
        <v>56.287918343211615</v>
      </c>
      <c r="DI54" s="3">
        <f t="shared" si="64"/>
        <v>52.230130370319891</v>
      </c>
      <c r="DJ54" s="3">
        <f t="shared" si="65"/>
        <v>48.353872492397237</v>
      </c>
      <c r="DK54" s="3">
        <f t="shared" si="66"/>
        <v>44.691567375164738</v>
      </c>
      <c r="DL54" s="3">
        <f t="shared" si="67"/>
        <v>41.260767009164887</v>
      </c>
      <c r="DM54" s="3">
        <f t="shared" si="68"/>
        <v>38.066012010394807</v>
      </c>
      <c r="DN54" s="3">
        <f t="shared" si="69"/>
        <v>35.101620365199473</v>
      </c>
      <c r="DO54" s="3">
        <f t="shared" si="70"/>
        <v>32.354485198857219</v>
      </c>
      <c r="DP54" s="3">
        <f t="shared" si="71"/>
        <v>29.806538025743535</v>
      </c>
      <c r="DQ54" s="3">
        <f t="shared" si="72"/>
        <v>27.436749140417565</v>
      </c>
      <c r="DR54" s="3">
        <f t="shared" si="73"/>
        <v>25.222661964516721</v>
      </c>
      <c r="DS54" s="3">
        <f t="shared" si="74"/>
        <v>23.141521209484246</v>
      </c>
      <c r="DT54" s="3">
        <f t="shared" si="75"/>
        <v>21.171077973715676</v>
      </c>
      <c r="DU54" s="3">
        <f t="shared" si="76"/>
        <v>19.290155751603486</v>
      </c>
      <c r="DV54" s="3">
        <f t="shared" si="77"/>
        <v>17.47905124837742</v>
      </c>
      <c r="DW54" s="3">
        <f t="shared" si="78"/>
        <v>15.71982941353096</v>
      </c>
      <c r="DX54" s="3">
        <f t="shared" si="79"/>
        <v>13.996556362607935</v>
      </c>
      <c r="DY54" s="3">
        <f t="shared" si="80"/>
        <v>12.295497913641558</v>
      </c>
      <c r="DZ54" s="3">
        <f t="shared" si="81"/>
        <v>10.60529534703436</v>
      </c>
      <c r="EA54" s="3">
        <f t="shared" si="82"/>
        <v>8.9171135232154644</v>
      </c>
      <c r="EB54" s="3">
        <f t="shared" si="83"/>
        <v>7.2247400046105259</v>
      </c>
      <c r="EC54" s="3">
        <f t="shared" si="84"/>
        <v>5.5245989056064122</v>
      </c>
      <c r="ED54" s="3">
        <f t="shared" si="85"/>
        <v>3.8156332344148334</v>
      </c>
      <c r="EE54" s="3">
        <f t="shared" si="86"/>
        <v>2.0990098136859334</v>
      </c>
      <c r="EF54" s="3">
        <v>0</v>
      </c>
    </row>
    <row r="55" spans="7:136" x14ac:dyDescent="0.3">
      <c r="G55" s="16"/>
      <c r="H55" s="3">
        <f t="shared" si="6"/>
        <v>100</v>
      </c>
      <c r="I55" s="3">
        <f t="shared" si="8"/>
        <v>72.979693974351363</v>
      </c>
      <c r="J55" s="3">
        <f t="shared" si="9"/>
        <v>68.177710109388372</v>
      </c>
      <c r="K55" s="3">
        <f t="shared" si="10"/>
        <v>63.519974158622475</v>
      </c>
      <c r="L55" s="3">
        <f t="shared" si="11"/>
        <v>59.05470904060423</v>
      </c>
      <c r="M55" s="3">
        <f t="shared" si="12"/>
        <v>54.815493914206819</v>
      </c>
      <c r="N55" s="3">
        <f t="shared" si="13"/>
        <v>50.821380664483073</v>
      </c>
      <c r="O55" s="3">
        <f t="shared" si="14"/>
        <v>47.078452077873408</v>
      </c>
      <c r="P55" s="3">
        <f t="shared" si="15"/>
        <v>43.582116460104608</v>
      </c>
      <c r="Q55" s="3">
        <f t="shared" si="16"/>
        <v>40.319597559056056</v>
      </c>
      <c r="R55" s="3">
        <f t="shared" si="17"/>
        <v>37.272276473490578</v>
      </c>
      <c r="S55" s="3">
        <f t="shared" si="18"/>
        <v>34.41771070045597</v>
      </c>
      <c r="T55" s="3">
        <f t="shared" si="19"/>
        <v>31.731274851501979</v>
      </c>
      <c r="U55" s="3">
        <f t="shared" si="20"/>
        <v>29.187440623439336</v>
      </c>
      <c r="V55" s="3">
        <f t="shared" si="21"/>
        <v>26.760751400597584</v>
      </c>
      <c r="W55" s="3">
        <f t="shared" si="22"/>
        <v>24.426561120882873</v>
      </c>
      <c r="X55" s="3">
        <f t="shared" si="23"/>
        <v>22.161607022658146</v>
      </c>
      <c r="Y55" s="3">
        <f t="shared" si="24"/>
        <v>19.94447769799304</v>
      </c>
      <c r="Z55" s="3">
        <f t="shared" si="25"/>
        <v>17.756024798460512</v>
      </c>
      <c r="AA55" s="3">
        <f t="shared" si="26"/>
        <v>15.579749988805704</v>
      </c>
      <c r="AB55" s="3">
        <f t="shared" si="27"/>
        <v>13.402178313957002</v>
      </c>
      <c r="AC55" s="3">
        <f t="shared" si="28"/>
        <v>11.213204769221658</v>
      </c>
      <c r="AD55" s="3">
        <f t="shared" si="29"/>
        <v>9.0063732086007011</v>
      </c>
      <c r="AE55" s="3">
        <f t="shared" si="30"/>
        <v>6.7790188737800143</v>
      </c>
      <c r="AF55" s="3">
        <f t="shared" si="31"/>
        <v>4.5321848301131711</v>
      </c>
      <c r="AG55" s="3">
        <f t="shared" si="32"/>
        <v>2.2702202848510562</v>
      </c>
      <c r="AH55" s="3">
        <v>0</v>
      </c>
      <c r="AI55"/>
      <c r="AJ55"/>
      <c r="AK55"/>
      <c r="AL55"/>
      <c r="AO55" s="17"/>
      <c r="AP55" s="3">
        <f t="shared" si="33"/>
        <v>-358800000</v>
      </c>
      <c r="AQ55" s="3">
        <f t="shared" si="34"/>
        <v>-261771082.94308001</v>
      </c>
      <c r="AR55" s="3">
        <f t="shared" si="35"/>
        <v>-244483181.49162522</v>
      </c>
      <c r="AS55" s="3">
        <f t="shared" si="36"/>
        <v>-227724942.80536211</v>
      </c>
      <c r="AT55" s="3">
        <f t="shared" si="37"/>
        <v>-211671343.86054471</v>
      </c>
      <c r="AU55" s="3">
        <f t="shared" si="38"/>
        <v>-196442754.88154921</v>
      </c>
      <c r="AV55" s="3">
        <f t="shared" si="39"/>
        <v>-182106038.56848022</v>
      </c>
      <c r="AW55" s="3">
        <f t="shared" si="40"/>
        <v>-168680817.69247538</v>
      </c>
      <c r="AX55" s="3">
        <f t="shared" si="41"/>
        <v>-156148227.54332656</v>
      </c>
      <c r="AY55" s="3">
        <f t="shared" si="42"/>
        <v>-144460179.27429247</v>
      </c>
      <c r="AZ55" s="3">
        <f t="shared" si="43"/>
        <v>-133547930.48075888</v>
      </c>
      <c r="BA55" s="3">
        <f t="shared" si="44"/>
        <v>-123329382.77968015</v>
      </c>
      <c r="BB55" s="3">
        <f t="shared" si="45"/>
        <v>-113714951.82141019</v>
      </c>
      <c r="BC55" s="3">
        <f t="shared" si="46"/>
        <v>-104612106.67658094</v>
      </c>
      <c r="BD55" s="3">
        <f t="shared" si="47"/>
        <v>-95928799.87918739</v>
      </c>
      <c r="BE55" s="3">
        <f t="shared" si="48"/>
        <v>-87576051.662850827</v>
      </c>
      <c r="BF55" s="3">
        <f t="shared" si="49"/>
        <v>-79469946.023266271</v>
      </c>
      <c r="BG55" s="3">
        <f t="shared" si="50"/>
        <v>-71533263.692870557</v>
      </c>
      <c r="BH55" s="3">
        <f t="shared" si="51"/>
        <v>-63696929.017529488</v>
      </c>
      <c r="BI55" s="3">
        <f t="shared" si="52"/>
        <v>-55901387.630207382</v>
      </c>
      <c r="BJ55" s="3">
        <f t="shared" si="53"/>
        <v>-48097958.770292394</v>
      </c>
      <c r="BK55" s="3">
        <f t="shared" si="54"/>
        <v>-40250117.99783086</v>
      </c>
      <c r="BL55" s="3">
        <f t="shared" si="55"/>
        <v>-32334563.868339404</v>
      </c>
      <c r="BM55" s="3">
        <f t="shared" si="56"/>
        <v>-24341815.429810353</v>
      </c>
      <c r="BN55" s="3">
        <f t="shared" si="57"/>
        <v>-16276000.716051199</v>
      </c>
      <c r="BO55" s="3">
        <f t="shared" si="58"/>
        <v>-8153473.8535967562</v>
      </c>
      <c r="BP55" s="3">
        <f t="shared" si="59"/>
        <v>0</v>
      </c>
      <c r="BW55" s="17"/>
      <c r="BX55" s="3">
        <f t="shared" si="60"/>
        <v>0.17426273458445043</v>
      </c>
      <c r="BY55" s="3">
        <f t="shared" ref="BY55:CW55" si="97">$C$19/($C$20-$C$21*BX55)</f>
        <v>0.17972039376148968</v>
      </c>
      <c r="BZ55" s="3">
        <f t="shared" si="97"/>
        <v>0.17989684606081083</v>
      </c>
      <c r="CA55" s="3">
        <f t="shared" si="97"/>
        <v>0.179902556745832</v>
      </c>
      <c r="CB55" s="3">
        <f t="shared" si="97"/>
        <v>0.17990274157194241</v>
      </c>
      <c r="CC55" s="3">
        <f t="shared" si="97"/>
        <v>0.17990274755383903</v>
      </c>
      <c r="CD55" s="3">
        <f t="shared" si="97"/>
        <v>0.17990274774744311</v>
      </c>
      <c r="CE55" s="3">
        <f t="shared" si="97"/>
        <v>0.1799027477537091</v>
      </c>
      <c r="CF55" s="3">
        <f t="shared" si="97"/>
        <v>0.17990274775391188</v>
      </c>
      <c r="CG55" s="3">
        <f t="shared" si="97"/>
        <v>0.17990274775391843</v>
      </c>
      <c r="CH55" s="3">
        <f t="shared" si="97"/>
        <v>0.17990274775391865</v>
      </c>
      <c r="CI55" s="3">
        <f t="shared" si="97"/>
        <v>0.17990274775391865</v>
      </c>
      <c r="CJ55" s="3">
        <f t="shared" si="97"/>
        <v>0.17990274775391865</v>
      </c>
      <c r="CK55" s="3">
        <f t="shared" si="97"/>
        <v>0.17990274775391865</v>
      </c>
      <c r="CL55" s="3">
        <f t="shared" si="97"/>
        <v>0.17990274775391865</v>
      </c>
      <c r="CM55" s="3">
        <f t="shared" si="97"/>
        <v>0.17990274775391865</v>
      </c>
      <c r="CN55" s="3">
        <f t="shared" si="97"/>
        <v>0.17990274775391865</v>
      </c>
      <c r="CO55" s="3">
        <f t="shared" si="97"/>
        <v>0.17990274775391865</v>
      </c>
      <c r="CP55" s="3">
        <f t="shared" si="97"/>
        <v>0.17990274775391865</v>
      </c>
      <c r="CQ55" s="3">
        <f t="shared" si="97"/>
        <v>0.17990274775391865</v>
      </c>
      <c r="CR55" s="3">
        <f t="shared" si="97"/>
        <v>0.17990274775391865</v>
      </c>
      <c r="CS55" s="3">
        <f t="shared" si="97"/>
        <v>0.17990274775391865</v>
      </c>
      <c r="CT55" s="3">
        <f t="shared" si="97"/>
        <v>0.17990274775391865</v>
      </c>
      <c r="CU55" s="3">
        <f t="shared" si="97"/>
        <v>0.17990274775391865</v>
      </c>
      <c r="CV55" s="3">
        <f t="shared" si="97"/>
        <v>0.17990274775391865</v>
      </c>
      <c r="CW55" s="3">
        <f t="shared" si="97"/>
        <v>0.17990274775391865</v>
      </c>
      <c r="CX55" s="3">
        <v>0</v>
      </c>
      <c r="DE55" s="17"/>
      <c r="DF55" s="3">
        <f t="shared" si="62"/>
        <v>65.147453083109909</v>
      </c>
      <c r="DG55" s="3">
        <f t="shared" si="62"/>
        <v>60.72676906773539</v>
      </c>
      <c r="DH55" s="3">
        <f t="shared" si="63"/>
        <v>56.750667096387978</v>
      </c>
      <c r="DI55" s="3">
        <f t="shared" si="64"/>
        <v>52.895881014336574</v>
      </c>
      <c r="DJ55" s="3">
        <f t="shared" si="65"/>
        <v>49.193251404818298</v>
      </c>
      <c r="DK55" s="3">
        <f t="shared" si="66"/>
        <v>45.672587898186762</v>
      </c>
      <c r="DL55" s="3">
        <f t="shared" si="67"/>
        <v>42.351837775977323</v>
      </c>
      <c r="DM55" s="3">
        <f t="shared" si="68"/>
        <v>39.237909573778438</v>
      </c>
      <c r="DN55" s="3">
        <f t="shared" si="69"/>
        <v>36.328510070898503</v>
      </c>
      <c r="DO55" s="3">
        <f t="shared" si="70"/>
        <v>33.614212606431373</v>
      </c>
      <c r="DP55" s="3">
        <f t="shared" si="71"/>
        <v>31.0804357470791</v>
      </c>
      <c r="DQ55" s="3">
        <f t="shared" si="72"/>
        <v>28.709167164935945</v>
      </c>
      <c r="DR55" s="3">
        <f t="shared" si="73"/>
        <v>26.480374083440896</v>
      </c>
      <c r="DS55" s="3">
        <f t="shared" si="74"/>
        <v>24.373107914512303</v>
      </c>
      <c r="DT55" s="3">
        <f t="shared" si="75"/>
        <v>22.366345936771715</v>
      </c>
      <c r="DU55" s="3">
        <f t="shared" si="76"/>
        <v>20.439627122864131</v>
      </c>
      <c r="DV55" s="3">
        <f t="shared" si="77"/>
        <v>18.573540682272448</v>
      </c>
      <c r="DW55" s="3">
        <f t="shared" si="78"/>
        <v>16.750120047563275</v>
      </c>
      <c r="DX55" s="3">
        <f t="shared" si="79"/>
        <v>14.953184966155284</v>
      </c>
      <c r="DY55" s="3">
        <f t="shared" si="80"/>
        <v>13.168661284236858</v>
      </c>
      <c r="DZ55" s="3">
        <f t="shared" si="81"/>
        <v>11.38489196484668</v>
      </c>
      <c r="EA55" s="3">
        <f t="shared" si="82"/>
        <v>9.5929334816971146</v>
      </c>
      <c r="EB55" s="3">
        <f t="shared" si="83"/>
        <v>7.786809086132001</v>
      </c>
      <c r="EC55" s="3">
        <f t="shared" si="84"/>
        <v>5.9636663695140282</v>
      </c>
      <c r="ED55" s="3">
        <f t="shared" si="85"/>
        <v>4.123765962861782</v>
      </c>
      <c r="EE55" s="3">
        <f t="shared" si="86"/>
        <v>2.2702202848510562</v>
      </c>
      <c r="EF55" s="3">
        <v>0</v>
      </c>
    </row>
    <row r="56" spans="7:136" x14ac:dyDescent="0.3">
      <c r="G56" s="16"/>
      <c r="H56" s="3">
        <f t="shared" si="6"/>
        <v>100</v>
      </c>
      <c r="I56" s="3">
        <f t="shared" si="8"/>
        <v>73.24069522437226</v>
      </c>
      <c r="J56" s="3">
        <f t="shared" si="9"/>
        <v>68.643819573597895</v>
      </c>
      <c r="K56" s="3">
        <f t="shared" si="10"/>
        <v>64.173802412411334</v>
      </c>
      <c r="L56" s="3">
        <f t="shared" si="11"/>
        <v>59.874192492890501</v>
      </c>
      <c r="M56" s="3">
        <f t="shared" si="12"/>
        <v>55.776240346601142</v>
      </c>
      <c r="N56" s="3">
        <f t="shared" si="13"/>
        <v>51.898626851416417</v>
      </c>
      <c r="O56" s="3">
        <f t="shared" si="14"/>
        <v>48.248451285878275</v>
      </c>
      <c r="P56" s="3">
        <f t="shared" si="15"/>
        <v>44.822953251125838</v>
      </c>
      <c r="Q56" s="3">
        <f t="shared" si="16"/>
        <v>41.611523838001425</v>
      </c>
      <c r="R56" s="3">
        <f t="shared" si="17"/>
        <v>38.597694864816361</v>
      </c>
      <c r="S56" s="3">
        <f t="shared" si="18"/>
        <v>35.760925382809091</v>
      </c>
      <c r="T56" s="3">
        <f t="shared" si="19"/>
        <v>33.07810734317448</v>
      </c>
      <c r="U56" s="3">
        <f t="shared" si="20"/>
        <v>30.524782339403359</v>
      </c>
      <c r="V56" s="3">
        <f t="shared" si="21"/>
        <v>28.076103177519606</v>
      </c>
      <c r="W56" s="3">
        <f t="shared" si="22"/>
        <v>25.707595090814063</v>
      </c>
      <c r="X56" s="3">
        <f t="shared" si="23"/>
        <v>23.395778556366899</v>
      </c>
      <c r="Y56" s="3">
        <f t="shared" si="24"/>
        <v>21.118713767219624</v>
      </c>
      <c r="Z56" s="3">
        <f t="shared" si="25"/>
        <v>18.856518462722125</v>
      </c>
      <c r="AA56" s="3">
        <f t="shared" si="26"/>
        <v>16.591896550974166</v>
      </c>
      <c r="AB56" s="3">
        <f t="shared" si="27"/>
        <v>14.310693755512178</v>
      </c>
      <c r="AC56" s="3">
        <f t="shared" si="28"/>
        <v>12.002466700780287</v>
      </c>
      <c r="AD56" s="3">
        <f t="shared" si="29"/>
        <v>9.6610125718530124</v>
      </c>
      <c r="AE56" s="3">
        <f t="shared" si="30"/>
        <v>7.2847601877495354</v>
      </c>
      <c r="AF56" s="3">
        <f t="shared" si="31"/>
        <v>4.8768792060627932</v>
      </c>
      <c r="AG56" s="3">
        <f t="shared" si="32"/>
        <v>2.4449417133691504</v>
      </c>
      <c r="AH56" s="3">
        <v>0</v>
      </c>
      <c r="AI56"/>
      <c r="AJ56"/>
      <c r="AK56"/>
      <c r="AL56"/>
      <c r="AO56" s="17"/>
      <c r="AP56" s="3">
        <f t="shared" si="33"/>
        <v>-358800000</v>
      </c>
      <c r="AQ56" s="3">
        <f t="shared" si="34"/>
        <v>-262717546.69222701</v>
      </c>
      <c r="AR56" s="3">
        <f t="shared" si="35"/>
        <v>-246172271.80314887</v>
      </c>
      <c r="AS56" s="3">
        <f t="shared" si="36"/>
        <v>-230092054.1795949</v>
      </c>
      <c r="AT56" s="3">
        <f t="shared" si="37"/>
        <v>-214635060.9942317</v>
      </c>
      <c r="AU56" s="3">
        <f t="shared" si="38"/>
        <v>-199913679.66314963</v>
      </c>
      <c r="AV56" s="3">
        <f t="shared" si="39"/>
        <v>-185993988.88793486</v>
      </c>
      <c r="AW56" s="3">
        <f t="shared" si="40"/>
        <v>-172899808.2601105</v>
      </c>
      <c r="AX56" s="3">
        <f t="shared" si="41"/>
        <v>-160619303.24472639</v>
      </c>
      <c r="AY56" s="3">
        <f t="shared" si="42"/>
        <v>-149112499.89863941</v>
      </c>
      <c r="AZ56" s="3">
        <f t="shared" si="43"/>
        <v>-138318595.78182331</v>
      </c>
      <c r="BA56" s="3">
        <f t="shared" si="44"/>
        <v>-128162444.90154311</v>
      </c>
      <c r="BB56" s="3">
        <f t="shared" si="45"/>
        <v>-118559967.8064702</v>
      </c>
      <c r="BC56" s="3">
        <f t="shared" si="46"/>
        <v>-109422484.86404686</v>
      </c>
      <c r="BD56" s="3">
        <f t="shared" si="47"/>
        <v>-100660113.76409647</v>
      </c>
      <c r="BE56" s="3">
        <f t="shared" si="48"/>
        <v>-92184441.293586954</v>
      </c>
      <c r="BF56" s="3">
        <f t="shared" si="49"/>
        <v>-83910700.365434393</v>
      </c>
      <c r="BG56" s="3">
        <f t="shared" si="50"/>
        <v>-75759673.962997928</v>
      </c>
      <c r="BH56" s="3">
        <f t="shared" si="51"/>
        <v>-67659517.188045144</v>
      </c>
      <c r="BI56" s="3">
        <f t="shared" si="52"/>
        <v>-59547638.379215427</v>
      </c>
      <c r="BJ56" s="3">
        <f t="shared" si="53"/>
        <v>-51372705.811020188</v>
      </c>
      <c r="BK56" s="3">
        <f t="shared" si="54"/>
        <v>-43096740.309411392</v>
      </c>
      <c r="BL56" s="3">
        <f t="shared" si="55"/>
        <v>-34697110.840615995</v>
      </c>
      <c r="BM56" s="3">
        <f t="shared" si="56"/>
        <v>-26168075.197795007</v>
      </c>
      <c r="BN56" s="3">
        <f t="shared" si="57"/>
        <v>-17521330.902040668</v>
      </c>
      <c r="BO56" s="3">
        <f t="shared" si="58"/>
        <v>-8784931.7084983122</v>
      </c>
      <c r="BP56" s="3">
        <f t="shared" si="59"/>
        <v>0</v>
      </c>
      <c r="BW56" s="17"/>
      <c r="BX56" s="3">
        <f t="shared" si="60"/>
        <v>0.17426273458445043</v>
      </c>
      <c r="BY56" s="3">
        <f t="shared" ref="BY56:CW56" si="98">$C$19/($C$20-$C$21*BX56)</f>
        <v>0.17972039376148968</v>
      </c>
      <c r="BZ56" s="3">
        <f t="shared" si="98"/>
        <v>0.17989684606081083</v>
      </c>
      <c r="CA56" s="3">
        <f t="shared" si="98"/>
        <v>0.179902556745832</v>
      </c>
      <c r="CB56" s="3">
        <f t="shared" si="98"/>
        <v>0.17990274157194241</v>
      </c>
      <c r="CC56" s="3">
        <f t="shared" si="98"/>
        <v>0.17990274755383903</v>
      </c>
      <c r="CD56" s="3">
        <f t="shared" si="98"/>
        <v>0.17990274774744311</v>
      </c>
      <c r="CE56" s="3">
        <f t="shared" si="98"/>
        <v>0.1799027477537091</v>
      </c>
      <c r="CF56" s="3">
        <f t="shared" si="98"/>
        <v>0.17990274775391188</v>
      </c>
      <c r="CG56" s="3">
        <f t="shared" si="98"/>
        <v>0.17990274775391843</v>
      </c>
      <c r="CH56" s="3">
        <f t="shared" si="98"/>
        <v>0.17990274775391865</v>
      </c>
      <c r="CI56" s="3">
        <f t="shared" si="98"/>
        <v>0.17990274775391865</v>
      </c>
      <c r="CJ56" s="3">
        <f t="shared" si="98"/>
        <v>0.17990274775391865</v>
      </c>
      <c r="CK56" s="3">
        <f t="shared" si="98"/>
        <v>0.17990274775391865</v>
      </c>
      <c r="CL56" s="3">
        <f t="shared" si="98"/>
        <v>0.17990274775391865</v>
      </c>
      <c r="CM56" s="3">
        <f t="shared" si="98"/>
        <v>0.17990274775391865</v>
      </c>
      <c r="CN56" s="3">
        <f t="shared" si="98"/>
        <v>0.17990274775391865</v>
      </c>
      <c r="CO56" s="3">
        <f t="shared" si="98"/>
        <v>0.17990274775391865</v>
      </c>
      <c r="CP56" s="3">
        <f t="shared" si="98"/>
        <v>0.17990274775391865</v>
      </c>
      <c r="CQ56" s="3">
        <f t="shared" si="98"/>
        <v>0.17990274775391865</v>
      </c>
      <c r="CR56" s="3">
        <f t="shared" si="98"/>
        <v>0.17990274775391865</v>
      </c>
      <c r="CS56" s="3">
        <f t="shared" si="98"/>
        <v>0.17990274775391865</v>
      </c>
      <c r="CT56" s="3">
        <f t="shared" si="98"/>
        <v>0.17990274775391865</v>
      </c>
      <c r="CU56" s="3">
        <f t="shared" si="98"/>
        <v>0.17990274775391865</v>
      </c>
      <c r="CV56" s="3">
        <f t="shared" si="98"/>
        <v>0.17990274775391865</v>
      </c>
      <c r="CW56" s="3">
        <f t="shared" si="98"/>
        <v>0.17990274775391865</v>
      </c>
      <c r="CX56" s="3">
        <v>0</v>
      </c>
      <c r="DE56" s="17"/>
      <c r="DF56" s="3">
        <f t="shared" si="62"/>
        <v>65.147453083109909</v>
      </c>
      <c r="DG56" s="3">
        <f t="shared" si="62"/>
        <v>60.904000941312589</v>
      </c>
      <c r="DH56" s="3">
        <f t="shared" si="63"/>
        <v>57.099154919875446</v>
      </c>
      <c r="DI56" s="3">
        <f t="shared" si="64"/>
        <v>53.402282099848229</v>
      </c>
      <c r="DJ56" s="3">
        <f t="shared" si="65"/>
        <v>49.839893939961371</v>
      </c>
      <c r="DK56" s="3">
        <f t="shared" si="66"/>
        <v>46.439534781759882</v>
      </c>
      <c r="DL56" s="3">
        <f t="shared" si="67"/>
        <v>43.218597890528258</v>
      </c>
      <c r="DM56" s="3">
        <f t="shared" si="68"/>
        <v>40.184678833564689</v>
      </c>
      <c r="DN56" s="3">
        <f t="shared" si="69"/>
        <v>37.33692577444198</v>
      </c>
      <c r="DO56" s="3">
        <f t="shared" si="70"/>
        <v>34.667692474853652</v>
      </c>
      <c r="DP56" s="3">
        <f t="shared" si="71"/>
        <v>32.164206126226148</v>
      </c>
      <c r="DQ56" s="3">
        <f t="shared" si="72"/>
        <v>29.810082981272931</v>
      </c>
      <c r="DR56" s="3">
        <f t="shared" si="73"/>
        <v>27.58661512572553</v>
      </c>
      <c r="DS56" s="3">
        <f t="shared" si="74"/>
        <v>25.473814231545056</v>
      </c>
      <c r="DT56" s="3">
        <f t="shared" si="75"/>
        <v>23.451236182537006</v>
      </c>
      <c r="DU56" s="3">
        <f t="shared" si="76"/>
        <v>21.49863024268145</v>
      </c>
      <c r="DV56" s="3">
        <f t="shared" si="77"/>
        <v>19.596463920615577</v>
      </c>
      <c r="DW56" s="3">
        <f t="shared" si="78"/>
        <v>17.726374282703418</v>
      </c>
      <c r="DX56" s="3">
        <f t="shared" si="79"/>
        <v>15.871590682753107</v>
      </c>
      <c r="DY56" s="3">
        <f t="shared" si="80"/>
        <v>14.01736342209268</v>
      </c>
      <c r="DZ56" s="3">
        <f t="shared" si="81"/>
        <v>12.151417016216893</v>
      </c>
      <c r="EA56" s="3">
        <f t="shared" si="82"/>
        <v>10.264423993018777</v>
      </c>
      <c r="EB56" s="3">
        <f t="shared" si="83"/>
        <v>8.3504641973485185</v>
      </c>
      <c r="EC56" s="3">
        <f t="shared" si="84"/>
        <v>6.40739621811489</v>
      </c>
      <c r="ED56" s="3">
        <f t="shared" si="85"/>
        <v>4.4370274737295095</v>
      </c>
      <c r="EE56" s="3">
        <f t="shared" si="86"/>
        <v>2.4449417133691504</v>
      </c>
      <c r="EF56" s="3">
        <v>0</v>
      </c>
    </row>
    <row r="57" spans="7:136" x14ac:dyDescent="0.3">
      <c r="G57" s="16"/>
      <c r="H57" s="3">
        <f t="shared" si="6"/>
        <v>100</v>
      </c>
      <c r="I57" s="3">
        <f t="shared" si="8"/>
        <v>73.424941622322294</v>
      </c>
      <c r="J57" s="3">
        <f t="shared" si="9"/>
        <v>68.975962147448399</v>
      </c>
      <c r="K57" s="3">
        <f t="shared" si="10"/>
        <v>64.646432892508699</v>
      </c>
      <c r="L57" s="3">
        <f t="shared" si="11"/>
        <v>60.477308472413277</v>
      </c>
      <c r="M57" s="3">
        <f t="shared" si="12"/>
        <v>56.497947978061212</v>
      </c>
      <c r="N57" s="3">
        <f t="shared" si="13"/>
        <v>52.725857737305688</v>
      </c>
      <c r="O57" s="3">
        <f t="shared" si="14"/>
        <v>49.167595798955666</v>
      </c>
      <c r="P57" s="3">
        <f t="shared" si="15"/>
        <v>45.820349043173607</v>
      </c>
      <c r="Q57" s="3">
        <f t="shared" si="16"/>
        <v>42.673774924440401</v>
      </c>
      <c r="R57" s="3">
        <f t="shared" si="17"/>
        <v>39.711824306310554</v>
      </c>
      <c r="S57" s="3">
        <f t="shared" si="18"/>
        <v>36.91438109603839</v>
      </c>
      <c r="T57" s="3">
        <f t="shared" si="19"/>
        <v>34.25864788396045</v>
      </c>
      <c r="U57" s="3">
        <f t="shared" si="20"/>
        <v>31.720271030918546</v>
      </c>
      <c r="V57" s="3">
        <f t="shared" si="21"/>
        <v>29.274238111381706</v>
      </c>
      <c r="W57" s="3">
        <f t="shared" si="22"/>
        <v>26.895602079765336</v>
      </c>
      <c r="X57" s="3">
        <f t="shared" si="23"/>
        <v>24.560096066999254</v>
      </c>
      <c r="Y57" s="3">
        <f t="shared" si="24"/>
        <v>22.244704460288059</v>
      </c>
      <c r="Z57" s="3">
        <f t="shared" si="25"/>
        <v>19.92825162232689</v>
      </c>
      <c r="AA57" s="3">
        <f t="shared" si="26"/>
        <v>17.592058583603496</v>
      </c>
      <c r="AB57" s="3">
        <f t="shared" si="27"/>
        <v>15.220697330760625</v>
      </c>
      <c r="AC57" s="3">
        <f t="shared" si="28"/>
        <v>12.802837252193616</v>
      </c>
      <c r="AD57" s="3">
        <f t="shared" si="29"/>
        <v>10.332124113325991</v>
      </c>
      <c r="AE57" s="3">
        <f t="shared" si="30"/>
        <v>7.8079572841774088</v>
      </c>
      <c r="AF57" s="3">
        <f t="shared" si="31"/>
        <v>5.2359444774793671</v>
      </c>
      <c r="AG57" s="3">
        <f t="shared" si="32"/>
        <v>2.6277431137905727</v>
      </c>
      <c r="AH57" s="3">
        <v>0</v>
      </c>
      <c r="AI57"/>
      <c r="AJ57"/>
      <c r="AK57"/>
      <c r="AL57"/>
      <c r="AO57" s="17"/>
      <c r="AP57" s="3">
        <f t="shared" si="33"/>
        <v>-358800000</v>
      </c>
      <c r="AQ57" s="3">
        <f t="shared" si="34"/>
        <v>-263382694.94370124</v>
      </c>
      <c r="AR57" s="3">
        <f t="shared" si="35"/>
        <v>-247371109.46778947</v>
      </c>
      <c r="AS57" s="3">
        <f t="shared" si="36"/>
        <v>-231797452.18300283</v>
      </c>
      <c r="AT57" s="3">
        <f t="shared" si="37"/>
        <v>-216810456.28559554</v>
      </c>
      <c r="AU57" s="3">
        <f t="shared" si="38"/>
        <v>-202515709.07967132</v>
      </c>
      <c r="AV57" s="3">
        <f t="shared" si="39"/>
        <v>-188975155.18825519</v>
      </c>
      <c r="AW57" s="3">
        <f t="shared" si="40"/>
        <v>-176210811.2539019</v>
      </c>
      <c r="AX57" s="3">
        <f t="shared" si="41"/>
        <v>-164210816.18413928</v>
      </c>
      <c r="AY57" s="3">
        <f t="shared" si="42"/>
        <v>-152936311.45436245</v>
      </c>
      <c r="AZ57" s="3">
        <f t="shared" si="43"/>
        <v>-142328139.11861199</v>
      </c>
      <c r="BA57" s="3">
        <f t="shared" si="44"/>
        <v>-132312792.76444232</v>
      </c>
      <c r="BB57" s="3">
        <f t="shared" si="45"/>
        <v>-122807395.47985429</v>
      </c>
      <c r="BC57" s="3">
        <f t="shared" si="46"/>
        <v>-113723705.08374211</v>
      </c>
      <c r="BD57" s="3">
        <f t="shared" si="47"/>
        <v>-104971281.97244082</v>
      </c>
      <c r="BE57" s="3">
        <f t="shared" si="48"/>
        <v>-96460026.09348914</v>
      </c>
      <c r="BF57" s="3">
        <f t="shared" si="49"/>
        <v>-88102319.825100645</v>
      </c>
      <c r="BG57" s="3">
        <f t="shared" si="50"/>
        <v>-79815018.12348114</v>
      </c>
      <c r="BH57" s="3">
        <f t="shared" si="51"/>
        <v>-71521512.539516971</v>
      </c>
      <c r="BI57" s="3">
        <f t="shared" si="52"/>
        <v>-63154059.000014372</v>
      </c>
      <c r="BJ57" s="3">
        <f t="shared" si="53"/>
        <v>-54656489.414272778</v>
      </c>
      <c r="BK57" s="3">
        <f t="shared" si="54"/>
        <v>-45987305.948620945</v>
      </c>
      <c r="BL57" s="3">
        <f t="shared" si="55"/>
        <v>-37122963.662841335</v>
      </c>
      <c r="BM57" s="3">
        <f t="shared" si="56"/>
        <v>-28060871.060254414</v>
      </c>
      <c r="BN57" s="3">
        <f t="shared" si="57"/>
        <v>-18821300.864460919</v>
      </c>
      <c r="BO57" s="3">
        <f t="shared" si="58"/>
        <v>-9447097.5472548027</v>
      </c>
      <c r="BP57" s="3">
        <f t="shared" si="59"/>
        <v>0</v>
      </c>
      <c r="BW57" s="17"/>
      <c r="BX57" s="3">
        <f t="shared" si="60"/>
        <v>0.17426273458445043</v>
      </c>
      <c r="BY57" s="3">
        <f t="shared" ref="BY57:CW57" si="99">$C$19/($C$20-$C$21*BX57)</f>
        <v>0.17972039376148968</v>
      </c>
      <c r="BZ57" s="3">
        <f t="shared" si="99"/>
        <v>0.17989684606081083</v>
      </c>
      <c r="CA57" s="3">
        <f t="shared" si="99"/>
        <v>0.179902556745832</v>
      </c>
      <c r="CB57" s="3">
        <f t="shared" si="99"/>
        <v>0.17990274157194241</v>
      </c>
      <c r="CC57" s="3">
        <f t="shared" si="99"/>
        <v>0.17990274755383903</v>
      </c>
      <c r="CD57" s="3">
        <f t="shared" si="99"/>
        <v>0.17990274774744311</v>
      </c>
      <c r="CE57" s="3">
        <f t="shared" si="99"/>
        <v>0.1799027477537091</v>
      </c>
      <c r="CF57" s="3">
        <f t="shared" si="99"/>
        <v>0.17990274775391188</v>
      </c>
      <c r="CG57" s="3">
        <f t="shared" si="99"/>
        <v>0.17990274775391843</v>
      </c>
      <c r="CH57" s="3">
        <f t="shared" si="99"/>
        <v>0.17990274775391865</v>
      </c>
      <c r="CI57" s="3">
        <f t="shared" si="99"/>
        <v>0.17990274775391865</v>
      </c>
      <c r="CJ57" s="3">
        <f t="shared" si="99"/>
        <v>0.17990274775391865</v>
      </c>
      <c r="CK57" s="3">
        <f t="shared" si="99"/>
        <v>0.17990274775391865</v>
      </c>
      <c r="CL57" s="3">
        <f t="shared" si="99"/>
        <v>0.17990274775391865</v>
      </c>
      <c r="CM57" s="3">
        <f t="shared" si="99"/>
        <v>0.17990274775391865</v>
      </c>
      <c r="CN57" s="3">
        <f t="shared" si="99"/>
        <v>0.17990274775391865</v>
      </c>
      <c r="CO57" s="3">
        <f t="shared" si="99"/>
        <v>0.17990274775391865</v>
      </c>
      <c r="CP57" s="3">
        <f t="shared" si="99"/>
        <v>0.17990274775391865</v>
      </c>
      <c r="CQ57" s="3">
        <f t="shared" si="99"/>
        <v>0.17990274775391865</v>
      </c>
      <c r="CR57" s="3">
        <f t="shared" si="99"/>
        <v>0.17990274775391865</v>
      </c>
      <c r="CS57" s="3">
        <f t="shared" si="99"/>
        <v>0.17990274775391865</v>
      </c>
      <c r="CT57" s="3">
        <f t="shared" si="99"/>
        <v>0.17990274775391865</v>
      </c>
      <c r="CU57" s="3">
        <f t="shared" si="99"/>
        <v>0.17990274775391865</v>
      </c>
      <c r="CV57" s="3">
        <f t="shared" si="99"/>
        <v>0.17990274775391865</v>
      </c>
      <c r="CW57" s="3">
        <f t="shared" si="99"/>
        <v>0.17990274775391865</v>
      </c>
      <c r="CX57" s="3">
        <v>0</v>
      </c>
      <c r="DE57" s="17"/>
      <c r="DF57" s="3">
        <f t="shared" si="62"/>
        <v>65.147453083109909</v>
      </c>
      <c r="DG57" s="3">
        <f t="shared" si="62"/>
        <v>61.028554545105266</v>
      </c>
      <c r="DH57" s="3">
        <f t="shared" si="63"/>
        <v>57.346272761004222</v>
      </c>
      <c r="DI57" s="3">
        <f t="shared" si="64"/>
        <v>53.766410473215188</v>
      </c>
      <c r="DJ57" s="3">
        <f t="shared" si="65"/>
        <v>50.313172737971087</v>
      </c>
      <c r="DK57" s="3">
        <f t="shared" si="66"/>
        <v>47.012421303987075</v>
      </c>
      <c r="DL57" s="3">
        <f t="shared" si="67"/>
        <v>43.880472152937919</v>
      </c>
      <c r="DM57" s="3">
        <f t="shared" si="68"/>
        <v>40.9243891030547</v>
      </c>
      <c r="DN57" s="3">
        <f t="shared" si="69"/>
        <v>38.143219677234796</v>
      </c>
      <c r="DO57" s="3">
        <f t="shared" si="70"/>
        <v>35.529508613414286</v>
      </c>
      <c r="DP57" s="3">
        <f t="shared" si="71"/>
        <v>33.070825715497939</v>
      </c>
      <c r="DQ57" s="3">
        <f t="shared" si="72"/>
        <v>30.751156207379935</v>
      </c>
      <c r="DR57" s="3">
        <f t="shared" si="73"/>
        <v>28.552083965999181</v>
      </c>
      <c r="DS57" s="3">
        <f t="shared" si="74"/>
        <v>26.45375515627849</v>
      </c>
      <c r="DT57" s="3">
        <f t="shared" si="75"/>
        <v>24.435645394735914</v>
      </c>
      <c r="DU57" s="3">
        <f t="shared" si="76"/>
        <v>22.47717331221196</v>
      </c>
      <c r="DV57" s="3">
        <f t="shared" si="77"/>
        <v>20.558212611619581</v>
      </c>
      <c r="DW57" s="3">
        <f t="shared" si="78"/>
        <v>18.659557235499964</v>
      </c>
      <c r="DX57" s="3">
        <f t="shared" si="79"/>
        <v>16.76339194448871</v>
      </c>
      <c r="DY57" s="3">
        <f t="shared" si="80"/>
        <v>14.853813311068922</v>
      </c>
      <c r="DZ57" s="3">
        <f t="shared" si="81"/>
        <v>12.917431730044765</v>
      </c>
      <c r="EA57" s="3">
        <f t="shared" si="82"/>
        <v>10.94405973407175</v>
      </c>
      <c r="EB57" s="3">
        <f t="shared" si="83"/>
        <v>8.927451143557251</v>
      </c>
      <c r="EC57" s="3">
        <f t="shared" si="84"/>
        <v>6.8659964855919151</v>
      </c>
      <c r="ED57" s="3">
        <f t="shared" si="85"/>
        <v>4.7632062709170047</v>
      </c>
      <c r="EE57" s="3">
        <f t="shared" si="86"/>
        <v>2.6277431137905727</v>
      </c>
      <c r="EF57" s="3">
        <v>0</v>
      </c>
    </row>
    <row r="58" spans="7:136" x14ac:dyDescent="0.3">
      <c r="G58" s="16"/>
      <c r="H58" s="3">
        <f t="shared" si="6"/>
        <v>100</v>
      </c>
      <c r="I58" s="3">
        <f t="shared" si="8"/>
        <v>73.536619839901817</v>
      </c>
      <c r="J58" s="3">
        <f t="shared" si="9"/>
        <v>69.181455739689</v>
      </c>
      <c r="K58" s="3">
        <f t="shared" si="10"/>
        <v>64.947767741454186</v>
      </c>
      <c r="L58" s="3">
        <f t="shared" si="11"/>
        <v>60.87586865129299</v>
      </c>
      <c r="M58" s="3">
        <f t="shared" si="12"/>
        <v>56.993644583211882</v>
      </c>
      <c r="N58" s="3">
        <f t="shared" si="13"/>
        <v>53.316698341865958</v>
      </c>
      <c r="O58" s="3">
        <f t="shared" si="14"/>
        <v>49.849624400952145</v>
      </c>
      <c r="P58" s="3">
        <f t="shared" si="15"/>
        <v>46.587834878082887</v>
      </c>
      <c r="Q58" s="3">
        <f t="shared" si="16"/>
        <v>43.51951428627877</v>
      </c>
      <c r="R58" s="3">
        <f t="shared" si="17"/>
        <v>40.62744537757105</v>
      </c>
      <c r="S58" s="3">
        <f t="shared" si="18"/>
        <v>37.890579463061989</v>
      </c>
      <c r="T58" s="3">
        <f t="shared" si="19"/>
        <v>35.285314657948398</v>
      </c>
      <c r="U58" s="3">
        <f t="shared" si="20"/>
        <v>32.786501008328926</v>
      </c>
      <c r="V58" s="3">
        <f t="shared" si="21"/>
        <v>30.368222629856401</v>
      </c>
      <c r="W58" s="3">
        <f t="shared" si="22"/>
        <v>28.004423154154551</v>
      </c>
      <c r="X58" s="3">
        <f t="shared" si="23"/>
        <v>25.669448735436116</v>
      </c>
      <c r="Y58" s="3">
        <f t="shared" si="24"/>
        <v>23.338586538240598</v>
      </c>
      <c r="Z58" s="3">
        <f t="shared" si="25"/>
        <v>20.98867701051153</v>
      </c>
      <c r="AA58" s="3">
        <f t="shared" si="26"/>
        <v>18.598873235301351</v>
      </c>
      <c r="AB58" s="3">
        <f t="shared" si="27"/>
        <v>16.151604611805915</v>
      </c>
      <c r="AC58" s="3">
        <f t="shared" si="28"/>
        <v>13.633765585473414</v>
      </c>
      <c r="AD58" s="3">
        <f t="shared" si="29"/>
        <v>11.03808068408993</v>
      </c>
      <c r="AE58" s="3">
        <f t="shared" si="30"/>
        <v>8.3644832622943159</v>
      </c>
      <c r="AF58" s="3">
        <f t="shared" si="31"/>
        <v>5.6211869742745293</v>
      </c>
      <c r="AG58" s="3">
        <f t="shared" si="32"/>
        <v>2.8249574981242098</v>
      </c>
      <c r="AH58" s="3">
        <v>0</v>
      </c>
      <c r="AI58"/>
      <c r="AJ58"/>
      <c r="AK58"/>
      <c r="AL58"/>
      <c r="AO58" s="17"/>
      <c r="AP58" s="3">
        <f t="shared" si="33"/>
        <v>-358800000</v>
      </c>
      <c r="AQ58" s="3">
        <f t="shared" si="34"/>
        <v>-263781862.21474642</v>
      </c>
      <c r="AR58" s="3">
        <f t="shared" si="35"/>
        <v>-248106476.13020453</v>
      </c>
      <c r="AS58" s="3">
        <f t="shared" si="36"/>
        <v>-232877313.25246546</v>
      </c>
      <c r="AT58" s="3">
        <f t="shared" si="37"/>
        <v>-218240575.53298116</v>
      </c>
      <c r="AU58" s="3">
        <f t="shared" si="38"/>
        <v>-204296180.7367816</v>
      </c>
      <c r="AV58" s="3">
        <f t="shared" si="39"/>
        <v>-191098888.06252131</v>
      </c>
      <c r="AW58" s="3">
        <f t="shared" si="40"/>
        <v>-178663429.99680418</v>
      </c>
      <c r="AX58" s="3">
        <f t="shared" si="41"/>
        <v>-166971469.13884529</v>
      </c>
      <c r="AY58" s="3">
        <f t="shared" si="42"/>
        <v>-155978859.16232979</v>
      </c>
      <c r="AZ58" s="3">
        <f t="shared" si="43"/>
        <v>-145622317.46202117</v>
      </c>
      <c r="BA58" s="3">
        <f t="shared" si="44"/>
        <v>-135825094.54254785</v>
      </c>
      <c r="BB58" s="3">
        <f t="shared" si="45"/>
        <v>-126501542.1676804</v>
      </c>
      <c r="BC58" s="3">
        <f t="shared" si="46"/>
        <v>-117560671.64283523</v>
      </c>
      <c r="BD58" s="3">
        <f t="shared" si="47"/>
        <v>-108908896.50084585</v>
      </c>
      <c r="BE58" s="3">
        <f t="shared" si="48"/>
        <v>-100452205.33970049</v>
      </c>
      <c r="BF58" s="3">
        <f t="shared" si="49"/>
        <v>-92098035.34544614</v>
      </c>
      <c r="BG58" s="3">
        <f t="shared" si="50"/>
        <v>-83757129.23347491</v>
      </c>
      <c r="BH58" s="3">
        <f t="shared" si="51"/>
        <v>-75345661.740865767</v>
      </c>
      <c r="BI58" s="3">
        <f t="shared" si="52"/>
        <v>-66787909.233763672</v>
      </c>
      <c r="BJ58" s="3">
        <f t="shared" si="53"/>
        <v>-58019687.509092391</v>
      </c>
      <c r="BK58" s="3">
        <f t="shared" si="54"/>
        <v>-48992663.739523843</v>
      </c>
      <c r="BL58" s="3">
        <f t="shared" si="55"/>
        <v>-39679410.276450954</v>
      </c>
      <c r="BM58" s="3">
        <f t="shared" si="56"/>
        <v>-30078659.64709061</v>
      </c>
      <c r="BN58" s="3">
        <f t="shared" si="57"/>
        <v>-20219621.654379331</v>
      </c>
      <c r="BO58" s="3">
        <f t="shared" si="58"/>
        <v>-10163519.311025841</v>
      </c>
      <c r="BP58" s="3">
        <f t="shared" si="59"/>
        <v>0</v>
      </c>
      <c r="BW58" s="17"/>
      <c r="BX58" s="3">
        <f t="shared" si="60"/>
        <v>0.17426273458445043</v>
      </c>
      <c r="BY58" s="3">
        <f t="shared" ref="BY58:CW58" si="100">$C$19/($C$20-$C$21*BX58)</f>
        <v>0.17972039376148968</v>
      </c>
      <c r="BZ58" s="3">
        <f t="shared" si="100"/>
        <v>0.17989684606081083</v>
      </c>
      <c r="CA58" s="3">
        <f t="shared" si="100"/>
        <v>0.179902556745832</v>
      </c>
      <c r="CB58" s="3">
        <f t="shared" si="100"/>
        <v>0.17990274157194241</v>
      </c>
      <c r="CC58" s="3">
        <f t="shared" si="100"/>
        <v>0.17990274755383903</v>
      </c>
      <c r="CD58" s="3">
        <f t="shared" si="100"/>
        <v>0.17990274774744311</v>
      </c>
      <c r="CE58" s="3">
        <f t="shared" si="100"/>
        <v>0.1799027477537091</v>
      </c>
      <c r="CF58" s="3">
        <f t="shared" si="100"/>
        <v>0.17990274775391188</v>
      </c>
      <c r="CG58" s="3">
        <f t="shared" si="100"/>
        <v>0.17990274775391843</v>
      </c>
      <c r="CH58" s="3">
        <f t="shared" si="100"/>
        <v>0.17990274775391865</v>
      </c>
      <c r="CI58" s="3">
        <f t="shared" si="100"/>
        <v>0.17990274775391865</v>
      </c>
      <c r="CJ58" s="3">
        <f t="shared" si="100"/>
        <v>0.17990274775391865</v>
      </c>
      <c r="CK58" s="3">
        <f t="shared" si="100"/>
        <v>0.17990274775391865</v>
      </c>
      <c r="CL58" s="3">
        <f t="shared" si="100"/>
        <v>0.17990274775391865</v>
      </c>
      <c r="CM58" s="3">
        <f t="shared" si="100"/>
        <v>0.17990274775391865</v>
      </c>
      <c r="CN58" s="3">
        <f t="shared" si="100"/>
        <v>0.17990274775391865</v>
      </c>
      <c r="CO58" s="3">
        <f t="shared" si="100"/>
        <v>0.17990274775391865</v>
      </c>
      <c r="CP58" s="3">
        <f t="shared" si="100"/>
        <v>0.17990274775391865</v>
      </c>
      <c r="CQ58" s="3">
        <f t="shared" si="100"/>
        <v>0.17990274775391865</v>
      </c>
      <c r="CR58" s="3">
        <f t="shared" si="100"/>
        <v>0.17990274775391865</v>
      </c>
      <c r="CS58" s="3">
        <f t="shared" si="100"/>
        <v>0.17990274775391865</v>
      </c>
      <c r="CT58" s="3">
        <f t="shared" si="100"/>
        <v>0.17990274775391865</v>
      </c>
      <c r="CU58" s="3">
        <f t="shared" si="100"/>
        <v>0.17990274775391865</v>
      </c>
      <c r="CV58" s="3">
        <f t="shared" si="100"/>
        <v>0.17990274775391865</v>
      </c>
      <c r="CW58" s="3">
        <f t="shared" si="100"/>
        <v>0.17990274775391865</v>
      </c>
      <c r="CX58" s="3">
        <v>0</v>
      </c>
      <c r="DE58" s="17"/>
      <c r="DF58" s="3">
        <f t="shared" si="62"/>
        <v>65.147453083109909</v>
      </c>
      <c r="DG58" s="3">
        <f t="shared" si="62"/>
        <v>61.103301373371842</v>
      </c>
      <c r="DH58" s="3">
        <f t="shared" si="63"/>
        <v>57.497557164311324</v>
      </c>
      <c r="DI58" s="3">
        <f t="shared" si="64"/>
        <v>53.996043326963132</v>
      </c>
      <c r="DJ58" s="3">
        <f t="shared" si="65"/>
        <v>50.622555738596283</v>
      </c>
      <c r="DK58" s="3">
        <f t="shared" si="66"/>
        <v>47.401824061010984</v>
      </c>
      <c r="DL58" s="3">
        <f t="shared" si="67"/>
        <v>44.348613937956678</v>
      </c>
      <c r="DM58" s="3">
        <f t="shared" si="68"/>
        <v>41.468344894488951</v>
      </c>
      <c r="DN58" s="3">
        <f t="shared" si="69"/>
        <v>38.75855467706571</v>
      </c>
      <c r="DO58" s="3">
        <f t="shared" si="70"/>
        <v>36.210525228631504</v>
      </c>
      <c r="DP58" s="3">
        <f t="shared" si="71"/>
        <v>33.810826018177998</v>
      </c>
      <c r="DQ58" s="3">
        <f t="shared" si="72"/>
        <v>31.542654400735451</v>
      </c>
      <c r="DR58" s="3">
        <f t="shared" si="73"/>
        <v>29.386933037313398</v>
      </c>
      <c r="DS58" s="3">
        <f t="shared" si="74"/>
        <v>27.323174312815024</v>
      </c>
      <c r="DT58" s="3">
        <f t="shared" si="75"/>
        <v>25.330149955160536</v>
      </c>
      <c r="DU58" s="3">
        <f t="shared" si="76"/>
        <v>23.386418793321241</v>
      </c>
      <c r="DV58" s="3">
        <f t="shared" si="77"/>
        <v>21.470772888514016</v>
      </c>
      <c r="DW58" s="3">
        <f t="shared" si="78"/>
        <v>19.562665872330072</v>
      </c>
      <c r="DX58" s="3">
        <f t="shared" si="79"/>
        <v>17.642688610354003</v>
      </c>
      <c r="DY58" s="3">
        <f t="shared" si="80"/>
        <v>15.693155185002603</v>
      </c>
      <c r="DZ58" s="3">
        <f t="shared" si="81"/>
        <v>13.698852720746434</v>
      </c>
      <c r="EA58" s="3">
        <f t="shared" si="82"/>
        <v>11.647984540476182</v>
      </c>
      <c r="EB58" s="3">
        <f t="shared" si="83"/>
        <v>9.5332871616615211</v>
      </c>
      <c r="EC58" s="3">
        <f t="shared" si="84"/>
        <v>7.3532162799837923</v>
      </c>
      <c r="ED58" s="3">
        <f t="shared" si="85"/>
        <v>5.1129693580739488</v>
      </c>
      <c r="EE58" s="3">
        <f t="shared" si="86"/>
        <v>2.8249574981242098</v>
      </c>
      <c r="EF58" s="3">
        <v>0</v>
      </c>
    </row>
    <row r="59" spans="7:136" x14ac:dyDescent="0.3">
      <c r="G59" s="16"/>
      <c r="H59" s="3">
        <f t="shared" si="6"/>
        <v>100</v>
      </c>
      <c r="I59" s="3">
        <f t="shared" si="8"/>
        <v>73.574445820592913</v>
      </c>
      <c r="J59" s="3">
        <f t="shared" si="9"/>
        <v>69.258728168323046</v>
      </c>
      <c r="K59" s="3">
        <f t="shared" si="10"/>
        <v>65.076912118107032</v>
      </c>
      <c r="L59" s="3">
        <f t="shared" si="11"/>
        <v>61.070437110067907</v>
      </c>
      <c r="M59" s="3">
        <f t="shared" si="12"/>
        <v>57.265780604047691</v>
      </c>
      <c r="N59" s="3">
        <f t="shared" si="13"/>
        <v>53.675566626494565</v>
      </c>
      <c r="O59" s="3">
        <f t="shared" si="14"/>
        <v>50.300759888035003</v>
      </c>
      <c r="P59" s="3">
        <f t="shared" si="15"/>
        <v>47.133156790188906</v>
      </c>
      <c r="Q59" s="3">
        <f t="shared" si="16"/>
        <v>44.157716866628256</v>
      </c>
      <c r="R59" s="3">
        <f t="shared" si="17"/>
        <v>41.354527566878957</v>
      </c>
      <c r="S59" s="3">
        <f t="shared" si="18"/>
        <v>38.700350252917637</v>
      </c>
      <c r="T59" s="3">
        <f t="shared" si="19"/>
        <v>36.16977827494663</v>
      </c>
      <c r="U59" s="3">
        <f t="shared" si="20"/>
        <v>33.736075949099202</v>
      </c>
      <c r="V59" s="3">
        <f t="shared" si="21"/>
        <v>31.371781370694858</v>
      </c>
      <c r="W59" s="3">
        <f t="shared" si="22"/>
        <v>29.049160234568831</v>
      </c>
      <c r="X59" s="3">
        <f t="shared" si="23"/>
        <v>26.740600330492391</v>
      </c>
      <c r="Y59" s="3">
        <f t="shared" si="24"/>
        <v>24.419041024505837</v>
      </c>
      <c r="Z59" s="3">
        <f t="shared" si="25"/>
        <v>22.058539290523179</v>
      </c>
      <c r="AA59" s="3">
        <f t="shared" si="26"/>
        <v>19.635080494946703</v>
      </c>
      <c r="AB59" s="3">
        <f t="shared" si="27"/>
        <v>17.127739852949485</v>
      </c>
      <c r="AC59" s="3">
        <f t="shared" si="28"/>
        <v>14.520273653137684</v>
      </c>
      <c r="AD59" s="3">
        <f t="shared" si="29"/>
        <v>11.80314314949328</v>
      </c>
      <c r="AE59" s="3">
        <f t="shared" si="30"/>
        <v>8.9758159452111652</v>
      </c>
      <c r="AF59" s="3">
        <f t="shared" si="31"/>
        <v>6.0489215650285821</v>
      </c>
      <c r="AG59" s="3">
        <f t="shared" si="32"/>
        <v>3.0454704531874999</v>
      </c>
      <c r="AH59" s="3">
        <v>0</v>
      </c>
      <c r="AI59"/>
      <c r="AJ59"/>
      <c r="AK59"/>
      <c r="AL59"/>
      <c r="AO59" s="17"/>
      <c r="AP59" s="3">
        <f t="shared" si="33"/>
        <v>-358800000</v>
      </c>
      <c r="AQ59" s="3">
        <f t="shared" si="34"/>
        <v>-263909700.22010952</v>
      </c>
      <c r="AR59" s="3">
        <f t="shared" si="35"/>
        <v>-248371804.19209543</v>
      </c>
      <c r="AS59" s="3">
        <f t="shared" si="36"/>
        <v>-233327676.57336268</v>
      </c>
      <c r="AT59" s="3">
        <f t="shared" si="37"/>
        <v>-218927032.42071441</v>
      </c>
      <c r="AU59" s="3">
        <f t="shared" si="38"/>
        <v>-205263808.92876717</v>
      </c>
      <c r="AV59" s="3">
        <f t="shared" si="39"/>
        <v>-192381195.29330528</v>
      </c>
      <c r="AW59" s="3">
        <f t="shared" si="40"/>
        <v>-180280262.14467344</v>
      </c>
      <c r="AX59" s="3">
        <f t="shared" si="41"/>
        <v>-168929337.36358115</v>
      </c>
      <c r="AY59" s="3">
        <f t="shared" si="42"/>
        <v>-158272570.04962155</v>
      </c>
      <c r="AZ59" s="3">
        <f t="shared" si="43"/>
        <v>-148237030.19668815</v>
      </c>
      <c r="BA59" s="3">
        <f t="shared" si="44"/>
        <v>-138738226.10475385</v>
      </c>
      <c r="BB59" s="3">
        <f t="shared" si="45"/>
        <v>-129684193.50290249</v>
      </c>
      <c r="BC59" s="3">
        <f t="shared" si="46"/>
        <v>-120978426.205538</v>
      </c>
      <c r="BD59" s="3">
        <f t="shared" si="47"/>
        <v>-112521955.34320481</v>
      </c>
      <c r="BE59" s="3">
        <f t="shared" si="48"/>
        <v>-104214891.61077453</v>
      </c>
      <c r="BF59" s="3">
        <f t="shared" si="49"/>
        <v>-95957750.201911569</v>
      </c>
      <c r="BG59" s="3">
        <f t="shared" si="50"/>
        <v>-87652894.31138888</v>
      </c>
      <c r="BH59" s="3">
        <f t="shared" si="51"/>
        <v>-79206462.208573759</v>
      </c>
      <c r="BI59" s="3">
        <f t="shared" si="52"/>
        <v>-70531174.676865667</v>
      </c>
      <c r="BJ59" s="3">
        <f t="shared" si="53"/>
        <v>-61550426.405524805</v>
      </c>
      <c r="BK59" s="3">
        <f t="shared" si="54"/>
        <v>-52203992.521531433</v>
      </c>
      <c r="BL59" s="3">
        <f t="shared" si="55"/>
        <v>-42455439.24393221</v>
      </c>
      <c r="BM59" s="3">
        <f t="shared" si="56"/>
        <v>-32300787.515794236</v>
      </c>
      <c r="BN59" s="3">
        <f t="shared" si="57"/>
        <v>-21777006.13481801</v>
      </c>
      <c r="BO59" s="3">
        <f t="shared" si="58"/>
        <v>-10967476.1785833</v>
      </c>
      <c r="BP59" s="3">
        <f t="shared" si="59"/>
        <v>0</v>
      </c>
      <c r="BW59" s="17"/>
      <c r="BX59" s="3">
        <f t="shared" si="60"/>
        <v>0.17426273458445043</v>
      </c>
      <c r="BY59" s="3">
        <f t="shared" ref="BY59:CW59" si="101">$C$19/($C$20-$C$21*BX59)</f>
        <v>0.17972039376148968</v>
      </c>
      <c r="BZ59" s="3">
        <f t="shared" si="101"/>
        <v>0.17989684606081083</v>
      </c>
      <c r="CA59" s="3">
        <f t="shared" si="101"/>
        <v>0.179902556745832</v>
      </c>
      <c r="CB59" s="3">
        <f t="shared" si="101"/>
        <v>0.17990274157194241</v>
      </c>
      <c r="CC59" s="3">
        <f t="shared" si="101"/>
        <v>0.17990274755383903</v>
      </c>
      <c r="CD59" s="3">
        <f t="shared" si="101"/>
        <v>0.17990274774744311</v>
      </c>
      <c r="CE59" s="3">
        <f t="shared" si="101"/>
        <v>0.1799027477537091</v>
      </c>
      <c r="CF59" s="3">
        <f t="shared" si="101"/>
        <v>0.17990274775391188</v>
      </c>
      <c r="CG59" s="3">
        <f t="shared" si="101"/>
        <v>0.17990274775391843</v>
      </c>
      <c r="CH59" s="3">
        <f t="shared" si="101"/>
        <v>0.17990274775391865</v>
      </c>
      <c r="CI59" s="3">
        <f t="shared" si="101"/>
        <v>0.17990274775391865</v>
      </c>
      <c r="CJ59" s="3">
        <f t="shared" si="101"/>
        <v>0.17990274775391865</v>
      </c>
      <c r="CK59" s="3">
        <f t="shared" si="101"/>
        <v>0.17990274775391865</v>
      </c>
      <c r="CL59" s="3">
        <f t="shared" si="101"/>
        <v>0.17990274775391865</v>
      </c>
      <c r="CM59" s="3">
        <f t="shared" si="101"/>
        <v>0.17990274775391865</v>
      </c>
      <c r="CN59" s="3">
        <f t="shared" si="101"/>
        <v>0.17990274775391865</v>
      </c>
      <c r="CO59" s="3">
        <f t="shared" si="101"/>
        <v>0.17990274775391865</v>
      </c>
      <c r="CP59" s="3">
        <f t="shared" si="101"/>
        <v>0.17990274775391865</v>
      </c>
      <c r="CQ59" s="3">
        <f t="shared" si="101"/>
        <v>0.17990274775391865</v>
      </c>
      <c r="CR59" s="3">
        <f t="shared" si="101"/>
        <v>0.17990274775391865</v>
      </c>
      <c r="CS59" s="3">
        <f t="shared" si="101"/>
        <v>0.17990274775391865</v>
      </c>
      <c r="CT59" s="3">
        <f t="shared" si="101"/>
        <v>0.17990274775391865</v>
      </c>
      <c r="CU59" s="3">
        <f t="shared" si="101"/>
        <v>0.17990274775391865</v>
      </c>
      <c r="CV59" s="3">
        <f t="shared" si="101"/>
        <v>0.17990274775391865</v>
      </c>
      <c r="CW59" s="3">
        <f t="shared" si="101"/>
        <v>0.17990274775391865</v>
      </c>
      <c r="CX59" s="3">
        <v>0</v>
      </c>
      <c r="DE59" s="17"/>
      <c r="DF59" s="3">
        <f t="shared" si="62"/>
        <v>65.147453083109909</v>
      </c>
      <c r="DG59" s="3">
        <f t="shared" si="62"/>
        <v>61.127239922761916</v>
      </c>
      <c r="DH59" s="3">
        <f t="shared" si="63"/>
        <v>57.551596926899037</v>
      </c>
      <c r="DI59" s="3">
        <f t="shared" si="64"/>
        <v>54.090184340420272</v>
      </c>
      <c r="DJ59" s="3">
        <f t="shared" si="65"/>
        <v>50.768166181142362</v>
      </c>
      <c r="DK59" s="3">
        <f t="shared" si="66"/>
        <v>47.609398691432176</v>
      </c>
      <c r="DL59" s="3">
        <f t="shared" si="67"/>
        <v>44.6263217088527</v>
      </c>
      <c r="DM59" s="3">
        <f t="shared" si="68"/>
        <v>41.821375471173631</v>
      </c>
      <c r="DN59" s="3">
        <f t="shared" si="69"/>
        <v>39.189062191343226</v>
      </c>
      <c r="DO59" s="3">
        <f t="shared" si="70"/>
        <v>36.717923725281565</v>
      </c>
      <c r="DP59" s="3">
        <f t="shared" si="71"/>
        <v>34.392228217340012</v>
      </c>
      <c r="DQ59" s="3">
        <f t="shared" si="72"/>
        <v>32.193307755604749</v>
      </c>
      <c r="DR59" s="3">
        <f t="shared" si="73"/>
        <v>30.100565513268794</v>
      </c>
      <c r="DS59" s="3">
        <f t="shared" si="74"/>
        <v>28.092206278576</v>
      </c>
      <c r="DT59" s="3">
        <f t="shared" si="75"/>
        <v>26.145757624552058</v>
      </c>
      <c r="DU59" s="3">
        <f t="shared" si="76"/>
        <v>24.238452758523906</v>
      </c>
      <c r="DV59" s="3">
        <f t="shared" si="77"/>
        <v>22.347547752668127</v>
      </c>
      <c r="DW59" s="3">
        <f t="shared" si="78"/>
        <v>20.45064919470294</v>
      </c>
      <c r="DX59" s="3">
        <f t="shared" si="79"/>
        <v>18.526134357112895</v>
      </c>
      <c r="DY59" s="3">
        <f t="shared" si="80"/>
        <v>16.553753032586791</v>
      </c>
      <c r="DZ59" s="3">
        <f t="shared" si="81"/>
        <v>14.515502724611187</v>
      </c>
      <c r="EA59" s="3">
        <f t="shared" si="82"/>
        <v>12.396855768411001</v>
      </c>
      <c r="EB59" s="3">
        <f t="shared" si="83"/>
        <v>10.188369197616355</v>
      </c>
      <c r="EC59" s="3">
        <f t="shared" si="84"/>
        <v>7.887598334714589</v>
      </c>
      <c r="ED59" s="3">
        <f t="shared" si="85"/>
        <v>5.5010330622967789</v>
      </c>
      <c r="EE59" s="3">
        <f t="shared" si="86"/>
        <v>3.0454704531874999</v>
      </c>
      <c r="EF59" s="3">
        <v>0</v>
      </c>
    </row>
    <row r="60" spans="7:136" x14ac:dyDescent="0.3">
      <c r="G60" s="16"/>
      <c r="H60" s="3">
        <f t="shared" si="6"/>
        <v>100</v>
      </c>
      <c r="I60" s="3">
        <f t="shared" si="8"/>
        <v>73.530987169548965</v>
      </c>
      <c r="J60" s="3">
        <f t="shared" si="9"/>
        <v>69.196439355948613</v>
      </c>
      <c r="K60" s="3">
        <f t="shared" si="10"/>
        <v>65.021434483394088</v>
      </c>
      <c r="L60" s="3">
        <f t="shared" si="11"/>
        <v>61.049900375191001</v>
      </c>
      <c r="M60" s="3">
        <f t="shared" si="12"/>
        <v>57.306119013783402</v>
      </c>
      <c r="N60" s="3">
        <f t="shared" si="13"/>
        <v>53.797798435681266</v>
      </c>
      <c r="O60" s="3">
        <f t="shared" si="14"/>
        <v>50.519955310271065</v>
      </c>
      <c r="P60" s="3">
        <f t="shared" si="15"/>
        <v>47.458541843926767</v>
      </c>
      <c r="Q60" s="3">
        <f t="shared" si="16"/>
        <v>44.593382721924691</v>
      </c>
      <c r="R60" s="3">
        <f t="shared" si="17"/>
        <v>41.900349020139195</v>
      </c>
      <c r="S60" s="3">
        <f t="shared" si="18"/>
        <v>39.352860868171753</v>
      </c>
      <c r="T60" s="3">
        <f t="shared" si="19"/>
        <v>36.922863038643818</v>
      </c>
      <c r="U60" s="3">
        <f t="shared" si="20"/>
        <v>34.581417670171867</v>
      </c>
      <c r="V60" s="3">
        <f t="shared" si="21"/>
        <v>32.299041249778362</v>
      </c>
      <c r="W60" s="3">
        <f t="shared" si="22"/>
        <v>30.045896818765353</v>
      </c>
      <c r="X60" s="3">
        <f t="shared" si="23"/>
        <v>27.791945323998888</v>
      </c>
      <c r="Y60" s="3">
        <f t="shared" si="24"/>
        <v>25.507165260765209</v>
      </c>
      <c r="Z60" s="3">
        <f t="shared" si="25"/>
        <v>23.161967442662977</v>
      </c>
      <c r="AA60" s="3">
        <f t="shared" si="26"/>
        <v>20.727958820481263</v>
      </c>
      <c r="AB60" s="3">
        <f t="shared" si="27"/>
        <v>18.179236620535029</v>
      </c>
      <c r="AC60" s="3">
        <f t="shared" si="28"/>
        <v>15.49440088057176</v>
      </c>
      <c r="AD60" s="3">
        <f t="shared" si="29"/>
        <v>12.65941906945748</v>
      </c>
      <c r="AE60" s="3">
        <f t="shared" si="30"/>
        <v>9.6712925436089812</v>
      </c>
      <c r="AF60" s="3">
        <f t="shared" si="31"/>
        <v>6.5420682051109074</v>
      </c>
      <c r="AG60" s="3">
        <f t="shared" si="32"/>
        <v>3.3020333993653819</v>
      </c>
      <c r="AH60" s="3">
        <v>0</v>
      </c>
      <c r="AI60"/>
      <c r="AJ60"/>
      <c r="AK60"/>
      <c r="AL60"/>
      <c r="AO60" s="17"/>
      <c r="AP60" s="3">
        <f t="shared" si="33"/>
        <v>-358800000</v>
      </c>
      <c r="AQ60" s="3">
        <f t="shared" si="34"/>
        <v>-263737401.73565313</v>
      </c>
      <c r="AR60" s="3">
        <f t="shared" si="35"/>
        <v>-248123702.57905844</v>
      </c>
      <c r="AS60" s="3">
        <f t="shared" si="36"/>
        <v>-233101625.23233554</v>
      </c>
      <c r="AT60" s="3">
        <f t="shared" si="37"/>
        <v>-218828456.1445078</v>
      </c>
      <c r="AU60" s="3">
        <f t="shared" si="38"/>
        <v>-205388370.80794662</v>
      </c>
      <c r="AV60" s="3">
        <f t="shared" si="39"/>
        <v>-192805299.34065312</v>
      </c>
      <c r="AW60" s="3">
        <f t="shared" si="40"/>
        <v>-181057880.61997131</v>
      </c>
      <c r="AX60" s="3">
        <f t="shared" si="41"/>
        <v>-170092892.42330354</v>
      </c>
      <c r="AY60" s="3">
        <f t="shared" si="42"/>
        <v>-159835859.30296162</v>
      </c>
      <c r="AZ60" s="3">
        <f t="shared" si="43"/>
        <v>-150198764.4936069</v>
      </c>
      <c r="BA60" s="3">
        <f t="shared" si="44"/>
        <v>-141085303.09541446</v>
      </c>
      <c r="BB60" s="3">
        <f t="shared" si="45"/>
        <v>-132394244.08484548</v>
      </c>
      <c r="BC60" s="3">
        <f t="shared" si="46"/>
        <v>-124021434.99534681</v>
      </c>
      <c r="BD60" s="3">
        <f t="shared" si="47"/>
        <v>-115860904.51217468</v>
      </c>
      <c r="BE60" s="3">
        <f t="shared" si="48"/>
        <v>-107805452.36765842</v>
      </c>
      <c r="BF60" s="3">
        <f t="shared" si="49"/>
        <v>-99747087.636244342</v>
      </c>
      <c r="BG60" s="3">
        <f t="shared" si="50"/>
        <v>-91577695.082335219</v>
      </c>
      <c r="BH60" s="3">
        <f t="shared" si="51"/>
        <v>-83190375.627597481</v>
      </c>
      <c r="BI60" s="3">
        <f t="shared" si="52"/>
        <v>-74482012.958200529</v>
      </c>
      <c r="BJ60" s="3">
        <f t="shared" si="53"/>
        <v>-65357736.384614557</v>
      </c>
      <c r="BK60" s="3">
        <f t="shared" si="54"/>
        <v>-55738013.51469247</v>
      </c>
      <c r="BL60" s="3">
        <f t="shared" si="55"/>
        <v>-45568976.733848475</v>
      </c>
      <c r="BM60" s="3">
        <f t="shared" si="56"/>
        <v>-34836016.707646526</v>
      </c>
      <c r="BN60" s="3">
        <f t="shared" si="57"/>
        <v>-23579291.407886297</v>
      </c>
      <c r="BO60" s="3">
        <f t="shared" si="58"/>
        <v>-11907199.178503335</v>
      </c>
      <c r="BP60" s="3">
        <f t="shared" si="59"/>
        <v>0</v>
      </c>
      <c r="BW60" s="17"/>
      <c r="BX60" s="3">
        <f t="shared" si="60"/>
        <v>0.17426273458445043</v>
      </c>
      <c r="BY60" s="3">
        <f t="shared" ref="BY60:CW60" si="102">$C$19/($C$20-$C$21*BX60)</f>
        <v>0.17972039376148968</v>
      </c>
      <c r="BZ60" s="3">
        <f t="shared" si="102"/>
        <v>0.17989684606081083</v>
      </c>
      <c r="CA60" s="3">
        <f t="shared" si="102"/>
        <v>0.179902556745832</v>
      </c>
      <c r="CB60" s="3">
        <f t="shared" si="102"/>
        <v>0.17990274157194241</v>
      </c>
      <c r="CC60" s="3">
        <f t="shared" si="102"/>
        <v>0.17990274755383903</v>
      </c>
      <c r="CD60" s="3">
        <f t="shared" si="102"/>
        <v>0.17990274774744311</v>
      </c>
      <c r="CE60" s="3">
        <f t="shared" si="102"/>
        <v>0.1799027477537091</v>
      </c>
      <c r="CF60" s="3">
        <f t="shared" si="102"/>
        <v>0.17990274775391188</v>
      </c>
      <c r="CG60" s="3">
        <f t="shared" si="102"/>
        <v>0.17990274775391843</v>
      </c>
      <c r="CH60" s="3">
        <f t="shared" si="102"/>
        <v>0.17990274775391865</v>
      </c>
      <c r="CI60" s="3">
        <f t="shared" si="102"/>
        <v>0.17990274775391865</v>
      </c>
      <c r="CJ60" s="3">
        <f t="shared" si="102"/>
        <v>0.17990274775391865</v>
      </c>
      <c r="CK60" s="3">
        <f t="shared" si="102"/>
        <v>0.17990274775391865</v>
      </c>
      <c r="CL60" s="3">
        <f t="shared" si="102"/>
        <v>0.17990274775391865</v>
      </c>
      <c r="CM60" s="3">
        <f t="shared" si="102"/>
        <v>0.17990274775391865</v>
      </c>
      <c r="CN60" s="3">
        <f t="shared" si="102"/>
        <v>0.17990274775391865</v>
      </c>
      <c r="CO60" s="3">
        <f t="shared" si="102"/>
        <v>0.17990274775391865</v>
      </c>
      <c r="CP60" s="3">
        <f t="shared" si="102"/>
        <v>0.17990274775391865</v>
      </c>
      <c r="CQ60" s="3">
        <f t="shared" si="102"/>
        <v>0.17990274775391865</v>
      </c>
      <c r="CR60" s="3">
        <f t="shared" si="102"/>
        <v>0.17990274775391865</v>
      </c>
      <c r="CS60" s="3">
        <f t="shared" si="102"/>
        <v>0.17990274775391865</v>
      </c>
      <c r="CT60" s="3">
        <f t="shared" si="102"/>
        <v>0.17990274775391865</v>
      </c>
      <c r="CU60" s="3">
        <f t="shared" si="102"/>
        <v>0.17990274775391865</v>
      </c>
      <c r="CV60" s="3">
        <f t="shared" si="102"/>
        <v>0.17990274775391865</v>
      </c>
      <c r="CW60" s="3">
        <f t="shared" si="102"/>
        <v>0.17990274775391865</v>
      </c>
      <c r="CX60" s="3">
        <v>0</v>
      </c>
      <c r="DE60" s="17"/>
      <c r="DF60" s="3">
        <f t="shared" si="62"/>
        <v>65.147453083109909</v>
      </c>
      <c r="DG60" s="3">
        <f t="shared" si="62"/>
        <v>61.094975841604843</v>
      </c>
      <c r="DH60" s="3">
        <f t="shared" si="63"/>
        <v>57.499288366036367</v>
      </c>
      <c r="DI60" s="3">
        <f t="shared" si="64"/>
        <v>54.038401316818899</v>
      </c>
      <c r="DJ60" s="3">
        <f t="shared" si="65"/>
        <v>50.74037245576335</v>
      </c>
      <c r="DK60" s="3">
        <f t="shared" si="66"/>
        <v>47.627747262856722</v>
      </c>
      <c r="DL60" s="3">
        <f t="shared" si="67"/>
        <v>44.70911965928547</v>
      </c>
      <c r="DM60" s="3">
        <f t="shared" si="68"/>
        <v>41.982033228164262</v>
      </c>
      <c r="DN60" s="3">
        <f t="shared" si="69"/>
        <v>39.4360697606107</v>
      </c>
      <c r="DO60" s="3">
        <f t="shared" si="70"/>
        <v>37.055394801353444</v>
      </c>
      <c r="DP60" s="3">
        <f t="shared" si="71"/>
        <v>34.820661217977438</v>
      </c>
      <c r="DQ60" s="3">
        <f t="shared" si="72"/>
        <v>32.710336352578125</v>
      </c>
      <c r="DR60" s="3">
        <f t="shared" si="73"/>
        <v>30.701570978553981</v>
      </c>
      <c r="DS60" s="3">
        <f t="shared" si="74"/>
        <v>28.770731399519576</v>
      </c>
      <c r="DT60" s="3">
        <f t="shared" si="75"/>
        <v>26.893701853351754</v>
      </c>
      <c r="DU60" s="3">
        <f t="shared" si="76"/>
        <v>25.046049489551283</v>
      </c>
      <c r="DV60" s="3">
        <f t="shared" si="77"/>
        <v>23.20313620617393</v>
      </c>
      <c r="DW60" s="3">
        <f t="shared" si="78"/>
        <v>21.340263674443335</v>
      </c>
      <c r="DX60" s="3">
        <f t="shared" si="79"/>
        <v>19.432950695528323</v>
      </c>
      <c r="DY60" s="3">
        <f t="shared" si="80"/>
        <v>17.45746420037835</v>
      </c>
      <c r="DZ60" s="3">
        <f t="shared" si="81"/>
        <v>15.391751327319431</v>
      </c>
      <c r="EA60" s="3">
        <f t="shared" si="82"/>
        <v>13.216936605008003</v>
      </c>
      <c r="EB60" s="3">
        <f t="shared" si="83"/>
        <v>10.919526966530238</v>
      </c>
      <c r="EC60" s="3">
        <f t="shared" si="84"/>
        <v>8.494356497515982</v>
      </c>
      <c r="ED60" s="3">
        <f t="shared" si="85"/>
        <v>5.9480233233898625</v>
      </c>
      <c r="EE60" s="3">
        <f t="shared" si="86"/>
        <v>3.3020333993653819</v>
      </c>
      <c r="EF60" s="3">
        <v>0</v>
      </c>
    </row>
    <row r="61" spans="7:136" x14ac:dyDescent="0.3">
      <c r="G61" s="16"/>
      <c r="H61" s="3">
        <f t="shared" si="6"/>
        <v>100</v>
      </c>
      <c r="I61" s="3">
        <f t="shared" si="8"/>
        <v>73.390699778156687</v>
      </c>
      <c r="J61" s="3">
        <f t="shared" si="9"/>
        <v>68.970901579526341</v>
      </c>
      <c r="K61" s="3">
        <f t="shared" si="10"/>
        <v>64.755072399385767</v>
      </c>
      <c r="L61" s="3">
        <f t="shared" si="11"/>
        <v>60.789915551578879</v>
      </c>
      <c r="M61" s="3">
        <f t="shared" si="12"/>
        <v>57.094983159139858</v>
      </c>
      <c r="N61" s="3">
        <f t="shared" si="13"/>
        <v>53.669526624029004</v>
      </c>
      <c r="O61" s="3">
        <f t="shared" si="14"/>
        <v>50.499164508446924</v>
      </c>
      <c r="P61" s="3">
        <f t="shared" si="15"/>
        <v>47.561140390159281</v>
      </c>
      <c r="Q61" s="3">
        <f t="shared" si="16"/>
        <v>44.827988143514503</v>
      </c>
      <c r="R61" s="3">
        <f t="shared" si="17"/>
        <v>42.269853790954997</v>
      </c>
      <c r="S61" s="3">
        <f t="shared" si="18"/>
        <v>39.855825808443477</v>
      </c>
      <c r="T61" s="3">
        <f t="shared" si="19"/>
        <v>37.554589494905969</v>
      </c>
      <c r="U61" s="3">
        <f t="shared" si="20"/>
        <v>35.334646600609084</v>
      </c>
      <c r="V61" s="3">
        <f t="shared" si="21"/>
        <v>33.164273376180979</v>
      </c>
      <c r="W61" s="3">
        <f t="shared" si="22"/>
        <v>31.011344209283703</v>
      </c>
      <c r="X61" s="3">
        <f t="shared" si="23"/>
        <v>28.843127720978018</v>
      </c>
      <c r="Y61" s="3">
        <f t="shared" si="24"/>
        <v>26.626167887479884</v>
      </c>
      <c r="Z61" s="3">
        <f t="shared" si="25"/>
        <v>24.32639469835123</v>
      </c>
      <c r="AA61" s="3">
        <f t="shared" si="26"/>
        <v>21.909666966777088</v>
      </c>
      <c r="AB61" s="3">
        <f t="shared" si="27"/>
        <v>19.343029577058775</v>
      </c>
      <c r="AC61" s="3">
        <f t="shared" si="28"/>
        <v>16.597049750876874</v>
      </c>
      <c r="AD61" s="3">
        <f t="shared" si="29"/>
        <v>13.649629849417376</v>
      </c>
      <c r="AE61" s="3">
        <f t="shared" si="30"/>
        <v>10.491563079630961</v>
      </c>
      <c r="AF61" s="3">
        <f t="shared" si="31"/>
        <v>7.1335922443284918</v>
      </c>
      <c r="AG61" s="3">
        <f t="shared" si="32"/>
        <v>3.6135443748322915</v>
      </c>
      <c r="AH61" s="3">
        <v>0</v>
      </c>
      <c r="AI61"/>
      <c r="AJ61"/>
      <c r="AK61"/>
      <c r="AL61"/>
      <c r="AO61" s="17"/>
      <c r="AP61" s="3">
        <f t="shared" si="33"/>
        <v>-358800000</v>
      </c>
      <c r="AQ61" s="3">
        <f t="shared" si="34"/>
        <v>-263204691.59222502</v>
      </c>
      <c r="AR61" s="3">
        <f t="shared" si="35"/>
        <v>-247271834.97231096</v>
      </c>
      <c r="AS61" s="3">
        <f t="shared" si="36"/>
        <v>-232100616.22435886</v>
      </c>
      <c r="AT61" s="3">
        <f t="shared" si="37"/>
        <v>-217854868.2439996</v>
      </c>
      <c r="AU61" s="3">
        <f t="shared" si="38"/>
        <v>-204598169.28920749</v>
      </c>
      <c r="AV61" s="3">
        <f t="shared" si="39"/>
        <v>-192321433.87054488</v>
      </c>
      <c r="AW61" s="3">
        <f t="shared" si="40"/>
        <v>-180968015.14631164</v>
      </c>
      <c r="AX61" s="3">
        <f t="shared" si="41"/>
        <v>-170452745.30876169</v>
      </c>
      <c r="AY61" s="3">
        <f t="shared" si="42"/>
        <v>-160674847.49490303</v>
      </c>
      <c r="AZ61" s="3">
        <f t="shared" si="43"/>
        <v>-151525928.8685202</v>
      </c>
      <c r="BA61" s="3">
        <f t="shared" si="44"/>
        <v>-142894450.84827495</v>
      </c>
      <c r="BB61" s="3">
        <f t="shared" si="45"/>
        <v>-134667845.49770081</v>
      </c>
      <c r="BC61" s="3">
        <f t="shared" si="46"/>
        <v>-126733137.35933603</v>
      </c>
      <c r="BD61" s="3">
        <f t="shared" si="47"/>
        <v>-118976670.88568246</v>
      </c>
      <c r="BE61" s="3">
        <f t="shared" si="48"/>
        <v>-111283375.07681473</v>
      </c>
      <c r="BF61" s="3">
        <f t="shared" si="49"/>
        <v>-103535923.83886001</v>
      </c>
      <c r="BG61" s="3">
        <f t="shared" si="50"/>
        <v>-95614170.753941</v>
      </c>
      <c r="BH61" s="3">
        <f t="shared" si="51"/>
        <v>-87395351.660767078</v>
      </c>
      <c r="BI61" s="3">
        <f t="shared" si="52"/>
        <v>-78755761.333884194</v>
      </c>
      <c r="BJ61" s="3">
        <f t="shared" si="53"/>
        <v>-69574914.579408839</v>
      </c>
      <c r="BK61" s="3">
        <f t="shared" si="54"/>
        <v>-59743547.240122534</v>
      </c>
      <c r="BL61" s="3">
        <f t="shared" si="55"/>
        <v>-49177040.881730974</v>
      </c>
      <c r="BM61" s="3">
        <f t="shared" si="56"/>
        <v>-37835586.87358278</v>
      </c>
      <c r="BN61" s="3">
        <f t="shared" si="57"/>
        <v>-25750882.906455826</v>
      </c>
      <c r="BO61" s="3">
        <f t="shared" si="58"/>
        <v>-13055130.776464036</v>
      </c>
      <c r="BP61" s="3">
        <f t="shared" si="59"/>
        <v>0</v>
      </c>
      <c r="BW61" s="17"/>
      <c r="BX61" s="3">
        <f t="shared" si="60"/>
        <v>0.17426273458445043</v>
      </c>
      <c r="BY61" s="3">
        <f t="shared" ref="BY61:CW61" si="103">$C$19/($C$20-$C$21*BX61)</f>
        <v>0.17972039376148968</v>
      </c>
      <c r="BZ61" s="3">
        <f t="shared" si="103"/>
        <v>0.17989684606081083</v>
      </c>
      <c r="CA61" s="3">
        <f t="shared" si="103"/>
        <v>0.179902556745832</v>
      </c>
      <c r="CB61" s="3">
        <f t="shared" si="103"/>
        <v>0.17990274157194241</v>
      </c>
      <c r="CC61" s="3">
        <f t="shared" si="103"/>
        <v>0.17990274755383903</v>
      </c>
      <c r="CD61" s="3">
        <f t="shared" si="103"/>
        <v>0.17990274774744311</v>
      </c>
      <c r="CE61" s="3">
        <f t="shared" si="103"/>
        <v>0.1799027477537091</v>
      </c>
      <c r="CF61" s="3">
        <f t="shared" si="103"/>
        <v>0.17990274775391188</v>
      </c>
      <c r="CG61" s="3">
        <f t="shared" si="103"/>
        <v>0.17990274775391843</v>
      </c>
      <c r="CH61" s="3">
        <f t="shared" si="103"/>
        <v>0.17990274775391865</v>
      </c>
      <c r="CI61" s="3">
        <f t="shared" si="103"/>
        <v>0.17990274775391865</v>
      </c>
      <c r="CJ61" s="3">
        <f t="shared" si="103"/>
        <v>0.17990274775391865</v>
      </c>
      <c r="CK61" s="3">
        <f t="shared" si="103"/>
        <v>0.17990274775391865</v>
      </c>
      <c r="CL61" s="3">
        <f t="shared" si="103"/>
        <v>0.17990274775391865</v>
      </c>
      <c r="CM61" s="3">
        <f t="shared" si="103"/>
        <v>0.17990274775391865</v>
      </c>
      <c r="CN61" s="3">
        <f t="shared" si="103"/>
        <v>0.17990274775391865</v>
      </c>
      <c r="CO61" s="3">
        <f t="shared" si="103"/>
        <v>0.17990274775391865</v>
      </c>
      <c r="CP61" s="3">
        <f t="shared" si="103"/>
        <v>0.17990274775391865</v>
      </c>
      <c r="CQ61" s="3">
        <f t="shared" si="103"/>
        <v>0.17990274775391865</v>
      </c>
      <c r="CR61" s="3">
        <f t="shared" si="103"/>
        <v>0.17990274775391865</v>
      </c>
      <c r="CS61" s="3">
        <f t="shared" si="103"/>
        <v>0.17990274775391865</v>
      </c>
      <c r="CT61" s="3">
        <f t="shared" si="103"/>
        <v>0.17990274775391865</v>
      </c>
      <c r="CU61" s="3">
        <f t="shared" si="103"/>
        <v>0.17990274775391865</v>
      </c>
      <c r="CV61" s="3">
        <f t="shared" si="103"/>
        <v>0.17990274775391865</v>
      </c>
      <c r="CW61" s="3">
        <f t="shared" si="103"/>
        <v>0.17990274775391865</v>
      </c>
      <c r="CX61" s="3">
        <v>0</v>
      </c>
      <c r="DE61" s="17"/>
      <c r="DF61" s="3">
        <f t="shared" si="62"/>
        <v>65.147453083109909</v>
      </c>
      <c r="DG61" s="3">
        <f t="shared" si="62"/>
        <v>60.995222188199264</v>
      </c>
      <c r="DH61" s="3">
        <f t="shared" si="63"/>
        <v>57.32166828843738</v>
      </c>
      <c r="DI61" s="3">
        <f t="shared" si="64"/>
        <v>53.818811167293518</v>
      </c>
      <c r="DJ61" s="3">
        <f t="shared" si="65"/>
        <v>50.518371551245735</v>
      </c>
      <c r="DK61" s="3">
        <f t="shared" si="66"/>
        <v>47.439687859563129</v>
      </c>
      <c r="DL61" s="3">
        <f t="shared" si="67"/>
        <v>44.584588170009248</v>
      </c>
      <c r="DM61" s="3">
        <f t="shared" si="68"/>
        <v>41.942784665957355</v>
      </c>
      <c r="DN61" s="3">
        <f t="shared" si="69"/>
        <v>39.496462146861241</v>
      </c>
      <c r="DO61" s="3">
        <f t="shared" si="70"/>
        <v>37.223525299365313</v>
      </c>
      <c r="DP61" s="3">
        <f t="shared" si="71"/>
        <v>35.099681214014467</v>
      </c>
      <c r="DQ61" s="3">
        <f t="shared" si="72"/>
        <v>33.099651967539444</v>
      </c>
      <c r="DR61" s="3">
        <f t="shared" si="73"/>
        <v>31.197789480542731</v>
      </c>
      <c r="DS61" s="3">
        <f t="shared" si="74"/>
        <v>29.368302692971998</v>
      </c>
      <c r="DT61" s="3">
        <f t="shared" si="75"/>
        <v>27.585247341388268</v>
      </c>
      <c r="DU61" s="3">
        <f t="shared" si="76"/>
        <v>25.822386278462535</v>
      </c>
      <c r="DV61" s="3">
        <f t="shared" si="77"/>
        <v>24.053006955863236</v>
      </c>
      <c r="DW61" s="3">
        <f t="shared" si="78"/>
        <v>22.24978263830014</v>
      </c>
      <c r="DX61" s="3">
        <f t="shared" si="79"/>
        <v>20.384785408654768</v>
      </c>
      <c r="DY61" s="3">
        <f t="shared" si="80"/>
        <v>18.429802795978894</v>
      </c>
      <c r="DZ61" s="3">
        <f t="shared" si="81"/>
        <v>16.357174722267533</v>
      </c>
      <c r="EA61" s="3">
        <f t="shared" si="82"/>
        <v>14.14144383514278</v>
      </c>
      <c r="EB61" s="3">
        <f t="shared" si="83"/>
        <v>11.762168823158202</v>
      </c>
      <c r="EC61" s="3">
        <f t="shared" si="84"/>
        <v>9.2082102335202212</v>
      </c>
      <c r="ED61" s="3">
        <f t="shared" si="85"/>
        <v>6.4835056821654469</v>
      </c>
      <c r="EE61" s="3">
        <f t="shared" si="86"/>
        <v>3.6135443748322915</v>
      </c>
      <c r="EF61" s="3">
        <v>0</v>
      </c>
    </row>
    <row r="62" spans="7:136" x14ac:dyDescent="0.3">
      <c r="G62" s="16"/>
      <c r="H62" s="3">
        <f t="shared" si="6"/>
        <v>100</v>
      </c>
      <c r="I62" s="3">
        <f t="shared" si="8"/>
        <v>73.125858024610039</v>
      </c>
      <c r="J62" s="3">
        <f t="shared" si="9"/>
        <v>68.540987943679326</v>
      </c>
      <c r="K62" s="3">
        <f t="shared" si="10"/>
        <v>64.23342886472274</v>
      </c>
      <c r="L62" s="3">
        <f t="shared" si="11"/>
        <v>60.250142809461309</v>
      </c>
      <c r="M62" s="3">
        <f t="shared" si="12"/>
        <v>56.599993647879202</v>
      </c>
      <c r="N62" s="3">
        <f t="shared" si="13"/>
        <v>53.267529999009128</v>
      </c>
      <c r="O62" s="3">
        <f t="shared" si="14"/>
        <v>50.223845826872306</v>
      </c>
      <c r="P62" s="3">
        <f t="shared" si="15"/>
        <v>47.433805504547465</v>
      </c>
      <c r="Q62" s="3">
        <f t="shared" si="16"/>
        <v>44.860279410799514</v>
      </c>
      <c r="R62" s="3">
        <f t="shared" si="17"/>
        <v>42.466304050996676</v>
      </c>
      <c r="S62" s="3">
        <f t="shared" si="18"/>
        <v>40.215938194577639</v>
      </c>
      <c r="T62" s="3">
        <f t="shared" si="19"/>
        <v>38.074355051730713</v>
      </c>
      <c r="U62" s="3">
        <f t="shared" si="20"/>
        <v>36.00751056250342</v>
      </c>
      <c r="V62" s="3">
        <f t="shared" si="21"/>
        <v>33.981588716292208</v>
      </c>
      <c r="W62" s="3">
        <f t="shared" si="22"/>
        <v>31.962342866837396</v>
      </c>
      <c r="X62" s="3">
        <f t="shared" si="23"/>
        <v>29.914417174461448</v>
      </c>
      <c r="Y62" s="3">
        <f t="shared" si="24"/>
        <v>27.800738303756724</v>
      </c>
      <c r="Z62" s="3">
        <f t="shared" si="25"/>
        <v>25.582115023936048</v>
      </c>
      <c r="AA62" s="3">
        <f t="shared" si="26"/>
        <v>23.217279868558848</v>
      </c>
      <c r="AB62" s="3">
        <f t="shared" si="27"/>
        <v>20.663762900920453</v>
      </c>
      <c r="AC62" s="3">
        <f t="shared" si="28"/>
        <v>17.880204379061805</v>
      </c>
      <c r="AD62" s="3">
        <f t="shared" si="29"/>
        <v>14.830953480673713</v>
      </c>
      <c r="AE62" s="3">
        <f t="shared" si="30"/>
        <v>11.493923243028837</v>
      </c>
      <c r="AF62" s="3">
        <f t="shared" si="31"/>
        <v>7.8723123971598765</v>
      </c>
      <c r="AG62" s="3">
        <f t="shared" si="32"/>
        <v>4.0092052668961724</v>
      </c>
      <c r="AH62" s="3">
        <v>0</v>
      </c>
      <c r="AI62"/>
      <c r="AJ62"/>
      <c r="AK62"/>
      <c r="AL62"/>
      <c r="AO62" s="17"/>
      <c r="AP62" s="3">
        <f t="shared" si="33"/>
        <v>-358800000</v>
      </c>
      <c r="AQ62" s="3">
        <f t="shared" si="34"/>
        <v>-262202979.50934878</v>
      </c>
      <c r="AR62" s="3">
        <f t="shared" si="35"/>
        <v>-245658914.65187863</v>
      </c>
      <c r="AS62" s="3">
        <f t="shared" si="36"/>
        <v>-230158320.73129112</v>
      </c>
      <c r="AT62" s="3">
        <f t="shared" si="37"/>
        <v>-215857783.23843816</v>
      </c>
      <c r="AU62" s="3">
        <f t="shared" si="38"/>
        <v>-202775877.55725431</v>
      </c>
      <c r="AV62" s="3">
        <f t="shared" si="39"/>
        <v>-190846740.64235532</v>
      </c>
      <c r="AW62" s="3">
        <f t="shared" si="40"/>
        <v>-179959723.35910943</v>
      </c>
      <c r="AX62" s="3">
        <f t="shared" si="41"/>
        <v>-169984693.95118588</v>
      </c>
      <c r="AY62" s="3">
        <f t="shared" si="42"/>
        <v>-160786358.1548759</v>
      </c>
      <c r="AZ62" s="3">
        <f t="shared" si="43"/>
        <v>-152231269.27086428</v>
      </c>
      <c r="BA62" s="3">
        <f t="shared" si="44"/>
        <v>-144190381.69704464</v>
      </c>
      <c r="BB62" s="3">
        <f t="shared" si="45"/>
        <v>-136539055.27212352</v>
      </c>
      <c r="BC62" s="3">
        <f t="shared" si="46"/>
        <v>-129155672.26532315</v>
      </c>
      <c r="BD62" s="3">
        <f t="shared" si="47"/>
        <v>-121919533.00556457</v>
      </c>
      <c r="BE62" s="3">
        <f t="shared" si="48"/>
        <v>-114708411.77397418</v>
      </c>
      <c r="BF62" s="3">
        <f t="shared" si="49"/>
        <v>-107396035.63781063</v>
      </c>
      <c r="BG62" s="3">
        <f t="shared" si="50"/>
        <v>-99849769.754430681</v>
      </c>
      <c r="BH62" s="3">
        <f t="shared" si="51"/>
        <v>-91928956.004719138</v>
      </c>
      <c r="BI62" s="3">
        <f t="shared" si="52"/>
        <v>-83484688.120058104</v>
      </c>
      <c r="BJ62" s="3">
        <f t="shared" si="53"/>
        <v>-74362364.380170301</v>
      </c>
      <c r="BK62" s="3">
        <f t="shared" si="54"/>
        <v>-64409172.390486099</v>
      </c>
      <c r="BL62" s="3">
        <f t="shared" si="55"/>
        <v>-53489658.197716825</v>
      </c>
      <c r="BM62" s="3">
        <f t="shared" si="56"/>
        <v>-41513323.713065743</v>
      </c>
      <c r="BN62" s="3">
        <f t="shared" si="57"/>
        <v>-28477633.685316395</v>
      </c>
      <c r="BO62" s="3">
        <f t="shared" si="58"/>
        <v>-14525246.635176653</v>
      </c>
      <c r="BP62" s="3">
        <f t="shared" si="59"/>
        <v>0</v>
      </c>
      <c r="BW62" s="17"/>
      <c r="BX62" s="3">
        <f t="shared" si="60"/>
        <v>0.17426273458445043</v>
      </c>
      <c r="BY62" s="3">
        <f t="shared" ref="BY62:CW62" si="104">$C$19/($C$20-$C$21*BX62)</f>
        <v>0.17972039376148968</v>
      </c>
      <c r="BZ62" s="3">
        <f t="shared" si="104"/>
        <v>0.17989684606081083</v>
      </c>
      <c r="CA62" s="3">
        <f t="shared" si="104"/>
        <v>0.179902556745832</v>
      </c>
      <c r="CB62" s="3">
        <f t="shared" si="104"/>
        <v>0.17990274157194241</v>
      </c>
      <c r="CC62" s="3">
        <f t="shared" si="104"/>
        <v>0.17990274755383903</v>
      </c>
      <c r="CD62" s="3">
        <f t="shared" si="104"/>
        <v>0.17990274774744311</v>
      </c>
      <c r="CE62" s="3">
        <f t="shared" si="104"/>
        <v>0.1799027477537091</v>
      </c>
      <c r="CF62" s="3">
        <f t="shared" si="104"/>
        <v>0.17990274775391188</v>
      </c>
      <c r="CG62" s="3">
        <f t="shared" si="104"/>
        <v>0.17990274775391843</v>
      </c>
      <c r="CH62" s="3">
        <f t="shared" si="104"/>
        <v>0.17990274775391865</v>
      </c>
      <c r="CI62" s="3">
        <f t="shared" si="104"/>
        <v>0.17990274775391865</v>
      </c>
      <c r="CJ62" s="3">
        <f t="shared" si="104"/>
        <v>0.17990274775391865</v>
      </c>
      <c r="CK62" s="3">
        <f t="shared" si="104"/>
        <v>0.17990274775391865</v>
      </c>
      <c r="CL62" s="3">
        <f t="shared" si="104"/>
        <v>0.17990274775391865</v>
      </c>
      <c r="CM62" s="3">
        <f t="shared" si="104"/>
        <v>0.17990274775391865</v>
      </c>
      <c r="CN62" s="3">
        <f t="shared" si="104"/>
        <v>0.17990274775391865</v>
      </c>
      <c r="CO62" s="3">
        <f t="shared" si="104"/>
        <v>0.17990274775391865</v>
      </c>
      <c r="CP62" s="3">
        <f t="shared" si="104"/>
        <v>0.17990274775391865</v>
      </c>
      <c r="CQ62" s="3">
        <f t="shared" si="104"/>
        <v>0.17990274775391865</v>
      </c>
      <c r="CR62" s="3">
        <f t="shared" si="104"/>
        <v>0.17990274775391865</v>
      </c>
      <c r="CS62" s="3">
        <f t="shared" si="104"/>
        <v>0.17990274775391865</v>
      </c>
      <c r="CT62" s="3">
        <f t="shared" si="104"/>
        <v>0.17990274775391865</v>
      </c>
      <c r="CU62" s="3">
        <f t="shared" si="104"/>
        <v>0.17990274775391865</v>
      </c>
      <c r="CV62" s="3">
        <f t="shared" si="104"/>
        <v>0.17990274775391865</v>
      </c>
      <c r="CW62" s="3">
        <f t="shared" si="104"/>
        <v>0.17990274775391865</v>
      </c>
      <c r="CX62" s="3">
        <v>0</v>
      </c>
      <c r="DE62" s="17"/>
      <c r="DF62" s="3">
        <f t="shared" si="62"/>
        <v>65.147453083109909</v>
      </c>
      <c r="DG62" s="3">
        <f t="shared" si="62"/>
        <v>60.807644682570469</v>
      </c>
      <c r="DH62" s="3">
        <f t="shared" si="63"/>
        <v>56.98559667924426</v>
      </c>
      <c r="DI62" s="3">
        <f t="shared" si="64"/>
        <v>53.394274128999143</v>
      </c>
      <c r="DJ62" s="3">
        <f t="shared" si="65"/>
        <v>50.067648779253318</v>
      </c>
      <c r="DK62" s="3">
        <f t="shared" si="66"/>
        <v>47.017018645650914</v>
      </c>
      <c r="DL62" s="3">
        <f t="shared" si="67"/>
        <v>44.232122132310849</v>
      </c>
      <c r="DM62" s="3">
        <f t="shared" si="68"/>
        <v>41.690373880189206</v>
      </c>
      <c r="DN62" s="3">
        <f t="shared" si="69"/>
        <v>39.363317973536397</v>
      </c>
      <c r="DO62" s="3">
        <f t="shared" si="70"/>
        <v>37.220474625071851</v>
      </c>
      <c r="DP62" s="3">
        <f t="shared" si="71"/>
        <v>35.231346266290394</v>
      </c>
      <c r="DQ62" s="3">
        <f t="shared" si="72"/>
        <v>33.366257101812991</v>
      </c>
      <c r="DR62" s="3">
        <f t="shared" si="73"/>
        <v>31.5965049617581</v>
      </c>
      <c r="DS62" s="3">
        <f t="shared" si="74"/>
        <v>29.894129379398894</v>
      </c>
      <c r="DT62" s="3">
        <f t="shared" si="75"/>
        <v>28.2314754098953</v>
      </c>
      <c r="DU62" s="3">
        <f t="shared" si="76"/>
        <v>26.580657019694765</v>
      </c>
      <c r="DV62" s="3">
        <f t="shared" si="77"/>
        <v>24.912987964027998</v>
      </c>
      <c r="DW62" s="3">
        <f t="shared" si="78"/>
        <v>23.198445517593825</v>
      </c>
      <c r="DX62" s="3">
        <f t="shared" si="79"/>
        <v>21.405262580210572</v>
      </c>
      <c r="DY62" s="3">
        <f t="shared" si="80"/>
        <v>19.499812143747771</v>
      </c>
      <c r="DZ62" s="3">
        <f t="shared" si="81"/>
        <v>17.447065002725587</v>
      </c>
      <c r="EA62" s="3">
        <f t="shared" si="82"/>
        <v>15.212075096078062</v>
      </c>
      <c r="EB62" s="3">
        <f t="shared" si="83"/>
        <v>12.763165106780194</v>
      </c>
      <c r="EC62" s="3">
        <f t="shared" si="84"/>
        <v>10.077672611602537</v>
      </c>
      <c r="ED62" s="3">
        <f t="shared" si="85"/>
        <v>7.1510453533357721</v>
      </c>
      <c r="EE62" s="3">
        <f t="shared" si="86"/>
        <v>4.0092052668961724</v>
      </c>
      <c r="EF62" s="3">
        <v>0</v>
      </c>
    </row>
    <row r="63" spans="7:136" x14ac:dyDescent="0.3">
      <c r="G63" s="16"/>
      <c r="H63" s="3">
        <f t="shared" si="6"/>
        <v>100</v>
      </c>
      <c r="I63" s="3">
        <f t="shared" si="8"/>
        <v>72.688512301847894</v>
      </c>
      <c r="J63" s="3">
        <f t="shared" si="9"/>
        <v>67.838888429370201</v>
      </c>
      <c r="K63" s="3">
        <f t="shared" si="10"/>
        <v>63.38687535773407</v>
      </c>
      <c r="L63" s="3">
        <f t="shared" si="11"/>
        <v>59.370201835844682</v>
      </c>
      <c r="M63" s="3">
        <f t="shared" si="12"/>
        <v>55.774612200310919</v>
      </c>
      <c r="N63" s="3">
        <f t="shared" si="13"/>
        <v>52.559469258402117</v>
      </c>
      <c r="O63" s="3">
        <f t="shared" si="14"/>
        <v>49.674064571244202</v>
      </c>
      <c r="P63" s="3">
        <f t="shared" si="15"/>
        <v>47.066472140943588</v>
      </c>
      <c r="Q63" s="3">
        <f t="shared" si="16"/>
        <v>44.687571719838758</v>
      </c>
      <c r="R63" s="3">
        <f t="shared" si="17"/>
        <v>42.492313581151421</v>
      </c>
      <c r="S63" s="3">
        <f t="shared" si="18"/>
        <v>40.439558985705872</v>
      </c>
      <c r="T63" s="3">
        <f t="shared" si="19"/>
        <v>38.491256513276667</v>
      </c>
      <c r="U63" s="3">
        <f t="shared" si="20"/>
        <v>36.611343413161187</v>
      </c>
      <c r="V63" s="3">
        <f t="shared" si="21"/>
        <v>34.764546422684745</v>
      </c>
      <c r="W63" s="3">
        <f t="shared" si="22"/>
        <v>32.915145286042303</v>
      </c>
      <c r="X63" s="3">
        <f t="shared" si="23"/>
        <v>31.025717989603312</v>
      </c>
      <c r="Y63" s="3">
        <f t="shared" si="24"/>
        <v>29.055892410632111</v>
      </c>
      <c r="Z63" s="3">
        <f t="shared" si="25"/>
        <v>26.961186058581241</v>
      </c>
      <c r="AA63" s="3">
        <f t="shared" si="26"/>
        <v>24.692143979053572</v>
      </c>
      <c r="AB63" s="3">
        <f t="shared" si="27"/>
        <v>22.194224520867269</v>
      </c>
      <c r="AC63" s="3">
        <f t="shared" si="28"/>
        <v>19.409289074904734</v>
      </c>
      <c r="AD63" s="3">
        <f t="shared" si="29"/>
        <v>16.280169771112963</v>
      </c>
      <c r="AE63" s="3">
        <f t="shared" si="30"/>
        <v>12.760559966537139</v>
      </c>
      <c r="AF63" s="3">
        <f t="shared" si="31"/>
        <v>8.8329839237801338</v>
      </c>
      <c r="AG63" s="3">
        <f t="shared" si="32"/>
        <v>4.5365208496574967</v>
      </c>
      <c r="AH63" s="3">
        <v>0</v>
      </c>
      <c r="AI63"/>
      <c r="AJ63"/>
      <c r="AK63"/>
      <c r="AL63"/>
      <c r="AO63" s="17"/>
      <c r="AP63" s="3">
        <f t="shared" si="33"/>
        <v>-358800000</v>
      </c>
      <c r="AQ63" s="3">
        <f t="shared" si="34"/>
        <v>-260541283.13850653</v>
      </c>
      <c r="AR63" s="3">
        <f t="shared" si="35"/>
        <v>-243024323.49127883</v>
      </c>
      <c r="AS63" s="3">
        <f t="shared" si="36"/>
        <v>-227014290.3070398</v>
      </c>
      <c r="AT63" s="3">
        <f t="shared" si="37"/>
        <v>-212616147.62743932</v>
      </c>
      <c r="AU63" s="3">
        <f t="shared" si="38"/>
        <v>-199754173.6862908</v>
      </c>
      <c r="AV63" s="3">
        <f t="shared" si="39"/>
        <v>-188266908.39143896</v>
      </c>
      <c r="AW63" s="3">
        <f t="shared" si="40"/>
        <v>-177963912.51066014</v>
      </c>
      <c r="AX63" s="3">
        <f t="shared" si="41"/>
        <v>-168655014.18004042</v>
      </c>
      <c r="AY63" s="3">
        <f t="shared" si="42"/>
        <v>-160162756.08343408</v>
      </c>
      <c r="AZ63" s="3">
        <f t="shared" si="43"/>
        <v>-152325652.91371927</v>
      </c>
      <c r="BA63" s="3">
        <f t="shared" si="44"/>
        <v>-144996889.39326462</v>
      </c>
      <c r="BB63" s="3">
        <f t="shared" si="45"/>
        <v>-138040991.45848033</v>
      </c>
      <c r="BC63" s="3">
        <f t="shared" si="46"/>
        <v>-131329716.87798607</v>
      </c>
      <c r="BD63" s="3">
        <f t="shared" si="47"/>
        <v>-124737691.90191318</v>
      </c>
      <c r="BE63" s="3">
        <f t="shared" si="48"/>
        <v>-118137956.51672204</v>
      </c>
      <c r="BF63" s="3">
        <f t="shared" si="49"/>
        <v>-111397438.64649981</v>
      </c>
      <c r="BG63" s="3">
        <f t="shared" si="50"/>
        <v>-104372396.67674573</v>
      </c>
      <c r="BH63" s="3">
        <f t="shared" si="51"/>
        <v>-96904054.830708593</v>
      </c>
      <c r="BI63" s="3">
        <f t="shared" si="52"/>
        <v>-88815078.367423505</v>
      </c>
      <c r="BJ63" s="3">
        <f t="shared" si="53"/>
        <v>-79908342.060991839</v>
      </c>
      <c r="BK63" s="3">
        <f t="shared" si="54"/>
        <v>-69970860.720605657</v>
      </c>
      <c r="BL63" s="3">
        <f t="shared" si="55"/>
        <v>-58788023.602098405</v>
      </c>
      <c r="BM63" s="3">
        <f t="shared" si="56"/>
        <v>-46176436.01618471</v>
      </c>
      <c r="BN63" s="3">
        <f t="shared" si="57"/>
        <v>-32046786.78541651</v>
      </c>
      <c r="BO63" s="3">
        <f t="shared" si="58"/>
        <v>-16507432.999559741</v>
      </c>
      <c r="BP63" s="3">
        <f t="shared" si="59"/>
        <v>0</v>
      </c>
      <c r="BW63" s="17"/>
      <c r="BX63" s="3">
        <f t="shared" si="60"/>
        <v>0.17426273458445043</v>
      </c>
      <c r="BY63" s="3">
        <f t="shared" ref="BY63:CW63" si="105">$C$19/($C$20-$C$21*BX63)</f>
        <v>0.17972039376148968</v>
      </c>
      <c r="BZ63" s="3">
        <f t="shared" si="105"/>
        <v>0.17989684606081083</v>
      </c>
      <c r="CA63" s="3">
        <f t="shared" si="105"/>
        <v>0.179902556745832</v>
      </c>
      <c r="CB63" s="3">
        <f t="shared" si="105"/>
        <v>0.17990274157194241</v>
      </c>
      <c r="CC63" s="3">
        <f t="shared" si="105"/>
        <v>0.17990274755383903</v>
      </c>
      <c r="CD63" s="3">
        <f t="shared" si="105"/>
        <v>0.17990274774744311</v>
      </c>
      <c r="CE63" s="3">
        <f t="shared" si="105"/>
        <v>0.1799027477537091</v>
      </c>
      <c r="CF63" s="3">
        <f t="shared" si="105"/>
        <v>0.17990274775391188</v>
      </c>
      <c r="CG63" s="3">
        <f t="shared" si="105"/>
        <v>0.17990274775391843</v>
      </c>
      <c r="CH63" s="3">
        <f t="shared" si="105"/>
        <v>0.17990274775391865</v>
      </c>
      <c r="CI63" s="3">
        <f t="shared" si="105"/>
        <v>0.17990274775391865</v>
      </c>
      <c r="CJ63" s="3">
        <f t="shared" si="105"/>
        <v>0.17990274775391865</v>
      </c>
      <c r="CK63" s="3">
        <f t="shared" si="105"/>
        <v>0.17990274775391865</v>
      </c>
      <c r="CL63" s="3">
        <f t="shared" si="105"/>
        <v>0.17990274775391865</v>
      </c>
      <c r="CM63" s="3">
        <f t="shared" si="105"/>
        <v>0.17990274775391865</v>
      </c>
      <c r="CN63" s="3">
        <f t="shared" si="105"/>
        <v>0.17990274775391865</v>
      </c>
      <c r="CO63" s="3">
        <f t="shared" si="105"/>
        <v>0.17990274775391865</v>
      </c>
      <c r="CP63" s="3">
        <f t="shared" si="105"/>
        <v>0.17990274775391865</v>
      </c>
      <c r="CQ63" s="3">
        <f t="shared" si="105"/>
        <v>0.17990274775391865</v>
      </c>
      <c r="CR63" s="3">
        <f t="shared" si="105"/>
        <v>0.17990274775391865</v>
      </c>
      <c r="CS63" s="3">
        <f t="shared" si="105"/>
        <v>0.17990274775391865</v>
      </c>
      <c r="CT63" s="3">
        <f t="shared" si="105"/>
        <v>0.17990274775391865</v>
      </c>
      <c r="CU63" s="3">
        <f t="shared" si="105"/>
        <v>0.17990274775391865</v>
      </c>
      <c r="CV63" s="3">
        <f t="shared" si="105"/>
        <v>0.17990274775391865</v>
      </c>
      <c r="CW63" s="3">
        <f t="shared" si="105"/>
        <v>0.17990274775391865</v>
      </c>
      <c r="CX63" s="3">
        <v>0</v>
      </c>
      <c r="DE63" s="17"/>
      <c r="DF63" s="3">
        <f t="shared" si="62"/>
        <v>65.147453083109909</v>
      </c>
      <c r="DG63" s="3">
        <f t="shared" si="62"/>
        <v>60.49648056097972</v>
      </c>
      <c r="DH63" s="3">
        <f t="shared" si="63"/>
        <v>56.435789470864115</v>
      </c>
      <c r="DI63" s="3">
        <f t="shared" si="64"/>
        <v>52.706024252949518</v>
      </c>
      <c r="DJ63" s="3">
        <f t="shared" si="65"/>
        <v>49.336196190896842</v>
      </c>
      <c r="DK63" s="3">
        <f t="shared" si="66"/>
        <v>46.31901927075284</v>
      </c>
      <c r="DL63" s="3">
        <f t="shared" si="67"/>
        <v>43.622968550251372</v>
      </c>
      <c r="DM63" s="3">
        <f t="shared" si="68"/>
        <v>41.206676906015048</v>
      </c>
      <c r="DN63" s="3">
        <f t="shared" si="69"/>
        <v>39.027055198094587</v>
      </c>
      <c r="DO63" s="3">
        <f t="shared" si="70"/>
        <v>37.043087748168467</v>
      </c>
      <c r="DP63" s="3">
        <f t="shared" si="71"/>
        <v>35.217125801666263</v>
      </c>
      <c r="DQ63" s="3">
        <f t="shared" si="72"/>
        <v>33.51487617446648</v>
      </c>
      <c r="DR63" s="3">
        <f t="shared" si="73"/>
        <v>31.904775234286642</v>
      </c>
      <c r="DS63" s="3">
        <f t="shared" si="74"/>
        <v>30.357105987301541</v>
      </c>
      <c r="DT63" s="3">
        <f t="shared" si="75"/>
        <v>28.843021343006292</v>
      </c>
      <c r="DU63" s="3">
        <f t="shared" si="76"/>
        <v>27.33353336867448</v>
      </c>
      <c r="DV63" s="3">
        <f t="shared" si="77"/>
        <v>25.798483106488362</v>
      </c>
      <c r="DW63" s="3">
        <f t="shared" si="78"/>
        <v>24.2055009559887</v>
      </c>
      <c r="DX63" s="3">
        <f t="shared" si="79"/>
        <v>22.519001508814124</v>
      </c>
      <c r="DY63" s="3">
        <f t="shared" si="80"/>
        <v>20.699342003482151</v>
      </c>
      <c r="DZ63" s="3">
        <f t="shared" si="81"/>
        <v>18.702440084341795</v>
      </c>
      <c r="EA63" s="3">
        <f t="shared" si="82"/>
        <v>16.480441799181229</v>
      </c>
      <c r="EB63" s="3">
        <f t="shared" si="83"/>
        <v>13.98450997025428</v>
      </c>
      <c r="EC63" s="3">
        <f t="shared" si="84"/>
        <v>11.171481887782903</v>
      </c>
      <c r="ED63" s="3">
        <f t="shared" si="85"/>
        <v>8.0168513576838087</v>
      </c>
      <c r="EE63" s="3">
        <f t="shared" si="86"/>
        <v>4.5365208496574967</v>
      </c>
      <c r="EF63" s="3">
        <v>0</v>
      </c>
    </row>
    <row r="64" spans="7:136" x14ac:dyDescent="0.3">
      <c r="G64" s="16"/>
      <c r="H64" s="3">
        <f t="shared" si="6"/>
        <v>100</v>
      </c>
      <c r="I64" s="3">
        <f t="shared" si="8"/>
        <v>71.994261183704253</v>
      </c>
      <c r="J64" s="3">
        <f t="shared" si="9"/>
        <v>66.75360834871131</v>
      </c>
      <c r="K64" s="3">
        <f t="shared" si="10"/>
        <v>62.109573065706122</v>
      </c>
      <c r="L64" s="3">
        <f t="shared" si="11"/>
        <v>58.064598919894273</v>
      </c>
      <c r="M64" s="3">
        <f t="shared" si="12"/>
        <v>54.557253491596008</v>
      </c>
      <c r="N64" s="3">
        <f t="shared" si="13"/>
        <v>51.505282259738912</v>
      </c>
      <c r="O64" s="3">
        <f t="shared" si="14"/>
        <v>48.826777687027622</v>
      </c>
      <c r="P64" s="3">
        <f t="shared" si="15"/>
        <v>46.448505550938414</v>
      </c>
      <c r="Q64" s="3">
        <f t="shared" si="16"/>
        <v>44.307754683235842</v>
      </c>
      <c r="R64" s="3">
        <f t="shared" si="17"/>
        <v>42.351354728792828</v>
      </c>
      <c r="S64" s="3">
        <f t="shared" si="18"/>
        <v>40.533695130154449</v>
      </c>
      <c r="T64" s="3">
        <f t="shared" si="19"/>
        <v>38.814556146579434</v>
      </c>
      <c r="U64" s="3">
        <f t="shared" si="20"/>
        <v>37.157040300324375</v>
      </c>
      <c r="V64" s="3">
        <f t="shared" si="21"/>
        <v>35.525646207700312</v>
      </c>
      <c r="W64" s="3">
        <f t="shared" si="22"/>
        <v>33.884420621429349</v>
      </c>
      <c r="X64" s="3">
        <f t="shared" si="23"/>
        <v>32.195087789149738</v>
      </c>
      <c r="Y64" s="3">
        <f t="shared" si="24"/>
        <v>30.41505916573248</v>
      </c>
      <c r="Z64" s="3">
        <f t="shared" si="25"/>
        <v>28.495273119201514</v>
      </c>
      <c r="AA64" s="3">
        <f t="shared" si="26"/>
        <v>26.37793727916522</v>
      </c>
      <c r="AB64" s="3">
        <f t="shared" si="27"/>
        <v>23.994524465968325</v>
      </c>
      <c r="AC64" s="3">
        <f t="shared" si="28"/>
        <v>21.264955402218625</v>
      </c>
      <c r="AD64" s="3">
        <f t="shared" si="29"/>
        <v>18.100029737676429</v>
      </c>
      <c r="AE64" s="3">
        <f t="shared" si="30"/>
        <v>14.411143594626722</v>
      </c>
      <c r="AF64" s="3">
        <f t="shared" si="31"/>
        <v>10.134242270010793</v>
      </c>
      <c r="AG64" s="3">
        <f t="shared" si="32"/>
        <v>5.2776178422856033</v>
      </c>
      <c r="AH64" s="3">
        <v>0</v>
      </c>
      <c r="AI64"/>
      <c r="AJ64"/>
      <c r="AK64"/>
      <c r="AL64"/>
      <c r="AO64" s="17"/>
      <c r="AP64" s="3">
        <f t="shared" si="33"/>
        <v>-358800000</v>
      </c>
      <c r="AQ64" s="3">
        <f t="shared" si="34"/>
        <v>-257875404.66915148</v>
      </c>
      <c r="AR64" s="3">
        <f t="shared" si="35"/>
        <v>-238939341.21824375</v>
      </c>
      <c r="AS64" s="3">
        <f t="shared" si="36"/>
        <v>-222274197.38437817</v>
      </c>
      <c r="AT64" s="3">
        <f t="shared" si="37"/>
        <v>-207819790.1035991</v>
      </c>
      <c r="AU64" s="3">
        <f t="shared" si="38"/>
        <v>-195314378.73733616</v>
      </c>
      <c r="AV64" s="3">
        <f t="shared" si="39"/>
        <v>-184442516.96915314</v>
      </c>
      <c r="AW64" s="3">
        <f t="shared" si="40"/>
        <v>-174902329.33336374</v>
      </c>
      <c r="AX64" s="3">
        <f t="shared" si="41"/>
        <v>-166429276.14634261</v>
      </c>
      <c r="AY64" s="3">
        <f t="shared" si="42"/>
        <v>-158799292.44546503</v>
      </c>
      <c r="AZ64" s="3">
        <f t="shared" si="43"/>
        <v>-151823504.28221419</v>
      </c>
      <c r="BA64" s="3">
        <f t="shared" si="44"/>
        <v>-145340342.66261116</v>
      </c>
      <c r="BB64" s="3">
        <f t="shared" si="45"/>
        <v>-139207484.45768932</v>
      </c>
      <c r="BC64" s="3">
        <f t="shared" si="46"/>
        <v>-133294390.16389383</v>
      </c>
      <c r="BD64" s="3">
        <f t="shared" si="47"/>
        <v>-127475454.39960046</v>
      </c>
      <c r="BE64" s="3">
        <f t="shared" si="48"/>
        <v>-121623472.26752448</v>
      </c>
      <c r="BF64" s="3">
        <f t="shared" si="49"/>
        <v>-115603020.55293891</v>
      </c>
      <c r="BG64" s="3">
        <f t="shared" si="50"/>
        <v>-109263364.9048316</v>
      </c>
      <c r="BH64" s="3">
        <f t="shared" si="51"/>
        <v>-102430638.97573337</v>
      </c>
      <c r="BI64" s="3">
        <f t="shared" si="52"/>
        <v>-94899407.153860927</v>
      </c>
      <c r="BJ64" s="3">
        <f t="shared" si="53"/>
        <v>-86424578.313745901</v>
      </c>
      <c r="BK64" s="3">
        <f t="shared" si="54"/>
        <v>-76716494.824464247</v>
      </c>
      <c r="BL64" s="3">
        <f t="shared" si="55"/>
        <v>-65445779.385192581</v>
      </c>
      <c r="BM64" s="3">
        <f t="shared" si="56"/>
        <v>-52271532.602890536</v>
      </c>
      <c r="BN64" s="3">
        <f t="shared" si="57"/>
        <v>-36918052.302276671</v>
      </c>
      <c r="BO64" s="3">
        <f t="shared" si="58"/>
        <v>-19340142.547107492</v>
      </c>
      <c r="BP64" s="3">
        <f t="shared" si="59"/>
        <v>0</v>
      </c>
      <c r="BW64" s="17"/>
      <c r="BX64" s="3">
        <f t="shared" si="60"/>
        <v>0.17426273458445043</v>
      </c>
      <c r="BY64" s="3">
        <f t="shared" ref="BY64:CW64" si="106">$C$19/($C$20-$C$21*BX64)</f>
        <v>0.17972039376148968</v>
      </c>
      <c r="BZ64" s="3">
        <f t="shared" si="106"/>
        <v>0.17989684606081083</v>
      </c>
      <c r="CA64" s="3">
        <f t="shared" si="106"/>
        <v>0.179902556745832</v>
      </c>
      <c r="CB64" s="3">
        <f t="shared" si="106"/>
        <v>0.17990274157194241</v>
      </c>
      <c r="CC64" s="3">
        <f t="shared" si="106"/>
        <v>0.17990274755383903</v>
      </c>
      <c r="CD64" s="3">
        <f t="shared" si="106"/>
        <v>0.17990274774744311</v>
      </c>
      <c r="CE64" s="3">
        <f t="shared" si="106"/>
        <v>0.1799027477537091</v>
      </c>
      <c r="CF64" s="3">
        <f t="shared" si="106"/>
        <v>0.17990274775391188</v>
      </c>
      <c r="CG64" s="3">
        <f t="shared" si="106"/>
        <v>0.17990274775391843</v>
      </c>
      <c r="CH64" s="3">
        <f t="shared" si="106"/>
        <v>0.17990274775391865</v>
      </c>
      <c r="CI64" s="3">
        <f t="shared" si="106"/>
        <v>0.17990274775391865</v>
      </c>
      <c r="CJ64" s="3">
        <f t="shared" si="106"/>
        <v>0.17990274775391865</v>
      </c>
      <c r="CK64" s="3">
        <f t="shared" si="106"/>
        <v>0.17990274775391865</v>
      </c>
      <c r="CL64" s="3">
        <f t="shared" si="106"/>
        <v>0.17990274775391865</v>
      </c>
      <c r="CM64" s="3">
        <f t="shared" si="106"/>
        <v>0.17990274775391865</v>
      </c>
      <c r="CN64" s="3">
        <f t="shared" si="106"/>
        <v>0.17990274775391865</v>
      </c>
      <c r="CO64" s="3">
        <f t="shared" si="106"/>
        <v>0.17990274775391865</v>
      </c>
      <c r="CP64" s="3">
        <f t="shared" si="106"/>
        <v>0.17990274775391865</v>
      </c>
      <c r="CQ64" s="3">
        <f t="shared" si="106"/>
        <v>0.17990274775391865</v>
      </c>
      <c r="CR64" s="3">
        <f t="shared" si="106"/>
        <v>0.17990274775391865</v>
      </c>
      <c r="CS64" s="3">
        <f t="shared" si="106"/>
        <v>0.17990274775391865</v>
      </c>
      <c r="CT64" s="3">
        <f t="shared" si="106"/>
        <v>0.17990274775391865</v>
      </c>
      <c r="CU64" s="3">
        <f t="shared" si="106"/>
        <v>0.17990274775391865</v>
      </c>
      <c r="CV64" s="3">
        <f t="shared" si="106"/>
        <v>0.17990274775391865</v>
      </c>
      <c r="CW64" s="3">
        <f t="shared" si="106"/>
        <v>0.17990274775391865</v>
      </c>
      <c r="CX64" s="3">
        <v>0</v>
      </c>
      <c r="DE64" s="17"/>
      <c r="DF64" s="3">
        <f t="shared" si="62"/>
        <v>65.147453083109909</v>
      </c>
      <c r="DG64" s="3">
        <f t="shared" si="62"/>
        <v>59.997276406273599</v>
      </c>
      <c r="DH64" s="3">
        <f t="shared" si="63"/>
        <v>55.580292044007287</v>
      </c>
      <c r="DI64" s="3">
        <f t="shared" si="64"/>
        <v>51.663603263595867</v>
      </c>
      <c r="DJ64" s="3">
        <f t="shared" si="65"/>
        <v>48.249599444120726</v>
      </c>
      <c r="DK64" s="3">
        <f t="shared" si="66"/>
        <v>45.291311699532976</v>
      </c>
      <c r="DL64" s="3">
        <f t="shared" si="67"/>
        <v>42.721210790189097</v>
      </c>
      <c r="DM64" s="3">
        <f t="shared" si="68"/>
        <v>40.470563909360393</v>
      </c>
      <c r="DN64" s="3">
        <f t="shared" si="69"/>
        <v>38.477418736618027</v>
      </c>
      <c r="DO64" s="3">
        <f t="shared" si="70"/>
        <v>36.688629596425102</v>
      </c>
      <c r="DP64" s="3">
        <f t="shared" si="71"/>
        <v>35.059231598258414</v>
      </c>
      <c r="DQ64" s="3">
        <f t="shared" si="72"/>
        <v>33.550849826536059</v>
      </c>
      <c r="DR64" s="3">
        <f t="shared" si="73"/>
        <v>32.129902498147985</v>
      </c>
      <c r="DS64" s="3">
        <f t="shared" si="74"/>
        <v>30.765878931825508</v>
      </c>
      <c r="DT64" s="3">
        <f t="shared" si="75"/>
        <v>29.42974583185563</v>
      </c>
      <c r="DU64" s="3">
        <f t="shared" si="76"/>
        <v>28.092435863982679</v>
      </c>
      <c r="DV64" s="3">
        <f t="shared" si="77"/>
        <v>26.723335072136457</v>
      </c>
      <c r="DW64" s="3">
        <f t="shared" si="78"/>
        <v>25.288681233589752</v>
      </c>
      <c r="DX64" s="3">
        <f t="shared" si="79"/>
        <v>23.749809722599167</v>
      </c>
      <c r="DY64" s="3">
        <f t="shared" si="80"/>
        <v>22.06125639668889</v>
      </c>
      <c r="DZ64" s="3">
        <f t="shared" si="81"/>
        <v>20.168900558244658</v>
      </c>
      <c r="EA64" s="3">
        <f t="shared" si="82"/>
        <v>18.008710317982995</v>
      </c>
      <c r="EB64" s="3">
        <f t="shared" si="83"/>
        <v>15.507425406726796</v>
      </c>
      <c r="EC64" s="3">
        <f t="shared" si="84"/>
        <v>12.58796556384787</v>
      </c>
      <c r="ED64" s="3">
        <f t="shared" si="85"/>
        <v>9.1847843185885054</v>
      </c>
      <c r="EE64" s="3">
        <f t="shared" si="86"/>
        <v>5.2776178422856033</v>
      </c>
      <c r="EF64" s="3">
        <v>0</v>
      </c>
    </row>
    <row r="65" spans="7:136" x14ac:dyDescent="0.3">
      <c r="G65" s="16"/>
      <c r="H65" s="3">
        <f t="shared" ref="H65:H69" si="107">$C$13</f>
        <v>100</v>
      </c>
      <c r="I65" s="3">
        <f t="shared" si="8"/>
        <v>70.888000314119907</v>
      </c>
      <c r="J65" s="3">
        <f t="shared" si="9"/>
        <v>65.101540642197676</v>
      </c>
      <c r="K65" s="3">
        <f t="shared" si="10"/>
        <v>60.243590774754367</v>
      </c>
      <c r="L65" s="3">
        <f t="shared" si="11"/>
        <v>56.217862605550984</v>
      </c>
      <c r="M65" s="3">
        <f t="shared" si="12"/>
        <v>52.872655073633837</v>
      </c>
      <c r="N65" s="3">
        <f t="shared" si="13"/>
        <v>50.061089932824515</v>
      </c>
      <c r="O65" s="3">
        <f t="shared" si="14"/>
        <v>47.660152123097511</v>
      </c>
      <c r="P65" s="3">
        <f t="shared" si="15"/>
        <v>45.57246544665216</v>
      </c>
      <c r="Q65" s="3">
        <f t="shared" si="16"/>
        <v>43.722193010238215</v>
      </c>
      <c r="R65" s="3">
        <f t="shared" si="17"/>
        <v>42.049791031809391</v>
      </c>
      <c r="S65" s="3">
        <f t="shared" si="18"/>
        <v>40.507262497793491</v>
      </c>
      <c r="T65" s="3">
        <f t="shared" si="19"/>
        <v>39.054275742111408</v>
      </c>
      <c r="U65" s="3">
        <f t="shared" si="20"/>
        <v>37.655041975099898</v>
      </c>
      <c r="V65" s="3">
        <f t="shared" si="21"/>
        <v>36.275704513030377</v>
      </c>
      <c r="W65" s="3">
        <f t="shared" si="22"/>
        <v>34.881966942200933</v>
      </c>
      <c r="X65" s="3">
        <f t="shared" si="23"/>
        <v>33.436689723452879</v>
      </c>
      <c r="Y65" s="3">
        <f t="shared" si="24"/>
        <v>31.897184659158238</v>
      </c>
      <c r="Z65" s="3">
        <f t="shared" si="25"/>
        <v>30.211935885242582</v>
      </c>
      <c r="AA65" s="3">
        <f t="shared" si="26"/>
        <v>28.316509859754873</v>
      </c>
      <c r="AB65" s="3">
        <f t="shared" si="27"/>
        <v>26.128584628219503</v>
      </c>
      <c r="AC65" s="3">
        <f t="shared" si="28"/>
        <v>23.542570640654226</v>
      </c>
      <c r="AD65" s="3">
        <f t="shared" si="29"/>
        <v>20.42574814931999</v>
      </c>
      <c r="AE65" s="3">
        <f t="shared" si="30"/>
        <v>16.621307405822975</v>
      </c>
      <c r="AF65" s="3">
        <f t="shared" si="31"/>
        <v>11.97109170055467</v>
      </c>
      <c r="AG65" s="3">
        <f t="shared" si="32"/>
        <v>6.3846219735870173</v>
      </c>
      <c r="AH65" s="3">
        <v>0</v>
      </c>
      <c r="AI65"/>
      <c r="AJ65"/>
      <c r="AK65"/>
      <c r="AL65"/>
      <c r="AO65" s="17"/>
      <c r="AP65" s="3">
        <f t="shared" si="33"/>
        <v>-358800000</v>
      </c>
      <c r="AQ65" s="3">
        <f t="shared" si="34"/>
        <v>-253553264.42396045</v>
      </c>
      <c r="AR65" s="3">
        <f t="shared" si="35"/>
        <v>-232693187.67358559</v>
      </c>
      <c r="AS65" s="3">
        <f t="shared" si="36"/>
        <v>-215355276.35634741</v>
      </c>
      <c r="AT65" s="3">
        <f t="shared" si="37"/>
        <v>-201056559.24670911</v>
      </c>
      <c r="AU65" s="3">
        <f t="shared" si="38"/>
        <v>-189194921.47228804</v>
      </c>
      <c r="AV65" s="3">
        <f t="shared" si="39"/>
        <v>-179225089.83059978</v>
      </c>
      <c r="AW65" s="3">
        <f t="shared" si="40"/>
        <v>-170703982.07568234</v>
      </c>
      <c r="AX65" s="3">
        <f t="shared" si="41"/>
        <v>-163286146.97295779</v>
      </c>
      <c r="AY65" s="3">
        <f t="shared" si="42"/>
        <v>-156704516.79970062</v>
      </c>
      <c r="AZ65" s="3">
        <f t="shared" si="43"/>
        <v>-150750003.78301287</v>
      </c>
      <c r="BA65" s="3">
        <f t="shared" si="44"/>
        <v>-145254119.84396368</v>
      </c>
      <c r="BB65" s="3">
        <f t="shared" si="45"/>
        <v>-140075151.76591486</v>
      </c>
      <c r="BC65" s="3">
        <f t="shared" si="46"/>
        <v>-135087195.06658202</v>
      </c>
      <c r="BD65" s="3">
        <f t="shared" si="47"/>
        <v>-130171048.34158014</v>
      </c>
      <c r="BE65" s="3">
        <f t="shared" si="48"/>
        <v>-125205962.72477983</v>
      </c>
      <c r="BF65" s="3">
        <f t="shared" si="49"/>
        <v>-120061278.19333895</v>
      </c>
      <c r="BG65" s="3">
        <f t="shared" si="50"/>
        <v>-114586976.53219482</v>
      </c>
      <c r="BH65" s="3">
        <f t="shared" si="51"/>
        <v>-108602144.22214189</v>
      </c>
      <c r="BI65" s="3">
        <f t="shared" si="52"/>
        <v>-101880364.39258008</v>
      </c>
      <c r="BJ65" s="3">
        <f t="shared" si="53"/>
        <v>-94131428.558320299</v>
      </c>
      <c r="BK65" s="3">
        <f t="shared" si="54"/>
        <v>-84980188.558457479</v>
      </c>
      <c r="BL65" s="3">
        <f t="shared" si="55"/>
        <v>-73947528.099551901</v>
      </c>
      <c r="BM65" s="3">
        <f t="shared" si="56"/>
        <v>-60448986.102069385</v>
      </c>
      <c r="BN65" s="3">
        <f t="shared" si="57"/>
        <v>-43850849.708589017</v>
      </c>
      <c r="BO65" s="3">
        <f t="shared" si="58"/>
        <v>-23674052.72335602</v>
      </c>
      <c r="BP65" s="3">
        <f t="shared" si="59"/>
        <v>0</v>
      </c>
      <c r="BW65" s="17"/>
      <c r="BX65" s="3">
        <f t="shared" si="60"/>
        <v>0.17426273458445043</v>
      </c>
      <c r="BY65" s="3">
        <f t="shared" ref="BY65:CW65" si="108">$C$19/($C$20-$C$21*BX65)</f>
        <v>0.17972039376148968</v>
      </c>
      <c r="BZ65" s="3">
        <f t="shared" si="108"/>
        <v>0.17989684606081083</v>
      </c>
      <c r="CA65" s="3">
        <f t="shared" si="108"/>
        <v>0.179902556745832</v>
      </c>
      <c r="CB65" s="3">
        <f t="shared" si="108"/>
        <v>0.17990274157194241</v>
      </c>
      <c r="CC65" s="3">
        <f t="shared" si="108"/>
        <v>0.17990274755383903</v>
      </c>
      <c r="CD65" s="3">
        <f t="shared" si="108"/>
        <v>0.17990274774744311</v>
      </c>
      <c r="CE65" s="3">
        <f t="shared" si="108"/>
        <v>0.1799027477537091</v>
      </c>
      <c r="CF65" s="3">
        <f t="shared" si="108"/>
        <v>0.17990274775391188</v>
      </c>
      <c r="CG65" s="3">
        <f t="shared" si="108"/>
        <v>0.17990274775391843</v>
      </c>
      <c r="CH65" s="3">
        <f t="shared" si="108"/>
        <v>0.17990274775391865</v>
      </c>
      <c r="CI65" s="3">
        <f t="shared" si="108"/>
        <v>0.17990274775391865</v>
      </c>
      <c r="CJ65" s="3">
        <f t="shared" si="108"/>
        <v>0.17990274775391865</v>
      </c>
      <c r="CK65" s="3">
        <f t="shared" si="108"/>
        <v>0.17990274775391865</v>
      </c>
      <c r="CL65" s="3">
        <f t="shared" si="108"/>
        <v>0.17990274775391865</v>
      </c>
      <c r="CM65" s="3">
        <f t="shared" si="108"/>
        <v>0.17990274775391865</v>
      </c>
      <c r="CN65" s="3">
        <f t="shared" si="108"/>
        <v>0.17990274775391865</v>
      </c>
      <c r="CO65" s="3">
        <f t="shared" si="108"/>
        <v>0.17990274775391865</v>
      </c>
      <c r="CP65" s="3">
        <f t="shared" si="108"/>
        <v>0.17990274775391865</v>
      </c>
      <c r="CQ65" s="3">
        <f t="shared" si="108"/>
        <v>0.17990274775391865</v>
      </c>
      <c r="CR65" s="3">
        <f t="shared" si="108"/>
        <v>0.17990274775391865</v>
      </c>
      <c r="CS65" s="3">
        <f t="shared" si="108"/>
        <v>0.17990274775391865</v>
      </c>
      <c r="CT65" s="3">
        <f t="shared" si="108"/>
        <v>0.17990274775391865</v>
      </c>
      <c r="CU65" s="3">
        <f t="shared" si="108"/>
        <v>0.17990274775391865</v>
      </c>
      <c r="CV65" s="3">
        <f t="shared" si="108"/>
        <v>0.17990274775391865</v>
      </c>
      <c r="CW65" s="3">
        <f t="shared" si="108"/>
        <v>0.17990274775391865</v>
      </c>
      <c r="CX65" s="3">
        <v>0</v>
      </c>
      <c r="DE65" s="17"/>
      <c r="DF65" s="3">
        <f t="shared" si="62"/>
        <v>65.147453083109909</v>
      </c>
      <c r="DG65" s="3">
        <f t="shared" si="62"/>
        <v>59.187925795424519</v>
      </c>
      <c r="DH65" s="3">
        <f t="shared" si="63"/>
        <v>54.263908666441203</v>
      </c>
      <c r="DI65" s="3">
        <f t="shared" si="64"/>
        <v>50.129853557229843</v>
      </c>
      <c r="DJ65" s="3">
        <f t="shared" si="65"/>
        <v>46.705927003616587</v>
      </c>
      <c r="DK65" s="3">
        <f t="shared" si="66"/>
        <v>43.866527449178875</v>
      </c>
      <c r="DL65" s="3">
        <f t="shared" si="67"/>
        <v>41.486897607818136</v>
      </c>
      <c r="DM65" s="3">
        <f t="shared" si="68"/>
        <v>39.461540367333825</v>
      </c>
      <c r="DN65" s="3">
        <f t="shared" si="69"/>
        <v>37.706722786283422</v>
      </c>
      <c r="DO65" s="3">
        <f t="shared" si="70"/>
        <v>36.157320061137625</v>
      </c>
      <c r="DP65" s="3">
        <f t="shared" si="71"/>
        <v>34.762423204467083</v>
      </c>
      <c r="DQ65" s="3">
        <f t="shared" si="72"/>
        <v>33.481290980248438</v>
      </c>
      <c r="DR65" s="3">
        <f t="shared" si="73"/>
        <v>32.280030224001791</v>
      </c>
      <c r="DS65" s="3">
        <f t="shared" si="74"/>
        <v>31.128943056496507</v>
      </c>
      <c r="DT65" s="3">
        <f t="shared" si="75"/>
        <v>30.000342813067075</v>
      </c>
      <c r="DU65" s="3">
        <f t="shared" si="76"/>
        <v>28.866614585156547</v>
      </c>
      <c r="DV65" s="3">
        <f t="shared" si="77"/>
        <v>27.69829855765617</v>
      </c>
      <c r="DW65" s="3">
        <f t="shared" si="78"/>
        <v>26.46197437843788</v>
      </c>
      <c r="DX65" s="3">
        <f t="shared" si="79"/>
        <v>25.11771795467175</v>
      </c>
      <c r="DY65" s="3">
        <f t="shared" si="80"/>
        <v>23.615905690217385</v>
      </c>
      <c r="DZ65" s="3">
        <f t="shared" si="81"/>
        <v>21.893211480775076</v>
      </c>
      <c r="EA65" s="3">
        <f t="shared" si="82"/>
        <v>19.867922423662041</v>
      </c>
      <c r="EB65" s="3">
        <f t="shared" si="83"/>
        <v>17.435529275749879</v>
      </c>
      <c r="EC65" s="3">
        <f t="shared" si="84"/>
        <v>14.467675115279059</v>
      </c>
      <c r="ED65" s="3">
        <f t="shared" si="85"/>
        <v>10.822480664136318</v>
      </c>
      <c r="EE65" s="3">
        <f t="shared" si="86"/>
        <v>6.3846219735870173</v>
      </c>
      <c r="EF65" s="3">
        <v>0</v>
      </c>
    </row>
    <row r="66" spans="7:136" x14ac:dyDescent="0.3">
      <c r="G66" s="16"/>
      <c r="H66" s="3">
        <f t="shared" si="107"/>
        <v>100</v>
      </c>
      <c r="I66" s="3">
        <f t="shared" si="8"/>
        <v>69.067651481554961</v>
      </c>
      <c r="J66" s="3">
        <f t="shared" si="9"/>
        <v>62.574355025020751</v>
      </c>
      <c r="K66" s="3">
        <f t="shared" si="10"/>
        <v>57.558732753144795</v>
      </c>
      <c r="L66" s="3">
        <f t="shared" si="11"/>
        <v>53.683713399905272</v>
      </c>
      <c r="M66" s="3">
        <f t="shared" si="12"/>
        <v>50.638960400854003</v>
      </c>
      <c r="N66" s="3">
        <f t="shared" si="13"/>
        <v>48.187786601777646</v>
      </c>
      <c r="O66" s="3">
        <f t="shared" si="14"/>
        <v>46.16099554233255</v>
      </c>
      <c r="P66" s="3">
        <f t="shared" si="15"/>
        <v>44.439686391406184</v>
      </c>
      <c r="Q66" s="3">
        <f t="shared" si="16"/>
        <v>42.93958364450809</v>
      </c>
      <c r="R66" s="3">
        <f t="shared" si="17"/>
        <v>41.599367434143133</v>
      </c>
      <c r="S66" s="3">
        <f t="shared" si="18"/>
        <v>40.372547156506251</v>
      </c>
      <c r="T66" s="3">
        <f t="shared" si="19"/>
        <v>39.22186531298685</v>
      </c>
      <c r="U66" s="3">
        <f t="shared" si="20"/>
        <v>38.115327085149353</v>
      </c>
      <c r="V66" s="3">
        <f t="shared" si="21"/>
        <v>37.023165260878486</v>
      </c>
      <c r="W66" s="3">
        <f t="shared" si="22"/>
        <v>35.915212761869228</v>
      </c>
      <c r="X66" s="3">
        <f t="shared" si="23"/>
        <v>34.758234276959072</v>
      </c>
      <c r="Y66" s="3">
        <f t="shared" si="24"/>
        <v>33.512762178080536</v>
      </c>
      <c r="Z66" s="3">
        <f t="shared" si="25"/>
        <v>32.128889287826112</v>
      </c>
      <c r="AA66" s="3">
        <f t="shared" si="26"/>
        <v>30.54029437987522</v>
      </c>
      <c r="AB66" s="3">
        <f t="shared" si="27"/>
        <v>28.655553775568091</v>
      </c>
      <c r="AC66" s="3">
        <f t="shared" si="28"/>
        <v>26.34570746493689</v>
      </c>
      <c r="AD66" s="3">
        <f t="shared" si="29"/>
        <v>23.427744636670027</v>
      </c>
      <c r="AE66" s="3">
        <f t="shared" si="30"/>
        <v>19.647107799167049</v>
      </c>
      <c r="AF66" s="3">
        <f t="shared" si="31"/>
        <v>14.673907792247665</v>
      </c>
      <c r="AG66" s="3">
        <f t="shared" si="32"/>
        <v>8.1611078258765133</v>
      </c>
      <c r="AH66" s="3">
        <v>0</v>
      </c>
      <c r="AI66"/>
      <c r="AJ66"/>
      <c r="AK66"/>
      <c r="AL66"/>
      <c r="AO66" s="17"/>
      <c r="AP66" s="3">
        <f t="shared" si="33"/>
        <v>-358800000</v>
      </c>
      <c r="AQ66" s="3">
        <f t="shared" si="34"/>
        <v>-246257608.06910044</v>
      </c>
      <c r="AR66" s="3">
        <f t="shared" si="35"/>
        <v>-223098583.47032592</v>
      </c>
      <c r="AS66" s="3">
        <f t="shared" si="36"/>
        <v>-205426035.94674283</v>
      </c>
      <c r="AT66" s="3">
        <f t="shared" si="37"/>
        <v>-191820312.98287752</v>
      </c>
      <c r="AU66" s="3">
        <f t="shared" si="38"/>
        <v>-181122900.44905365</v>
      </c>
      <c r="AV66" s="3">
        <f t="shared" si="39"/>
        <v>-172490475.68299377</v>
      </c>
      <c r="AW66" s="3">
        <f t="shared" si="40"/>
        <v>-165332464.80134293</v>
      </c>
      <c r="AX66" s="3">
        <f t="shared" si="41"/>
        <v>-159237291.24336344</v>
      </c>
      <c r="AY66" s="3">
        <f t="shared" si="42"/>
        <v>-153913774.51958042</v>
      </c>
      <c r="AZ66" s="3">
        <f t="shared" si="43"/>
        <v>-149149698.25728232</v>
      </c>
      <c r="BA66" s="3">
        <f t="shared" si="44"/>
        <v>-144783625.10040504</v>
      </c>
      <c r="BB66" s="3">
        <f t="shared" si="45"/>
        <v>-140685685.77160037</v>
      </c>
      <c r="BC66" s="3">
        <f t="shared" si="46"/>
        <v>-136743995.7838212</v>
      </c>
      <c r="BD66" s="3">
        <f t="shared" si="47"/>
        <v>-132854272.10484885</v>
      </c>
      <c r="BE66" s="3">
        <f t="shared" si="48"/>
        <v>-128910836.23086995</v>
      </c>
      <c r="BF66" s="3">
        <f t="shared" si="49"/>
        <v>-124797476.60486376</v>
      </c>
      <c r="BG66" s="3">
        <f t="shared" si="50"/>
        <v>-120376621.28163892</v>
      </c>
      <c r="BH66" s="3">
        <f t="shared" si="51"/>
        <v>-115474937.35306239</v>
      </c>
      <c r="BI66" s="3">
        <f t="shared" si="52"/>
        <v>-109862802.9811001</v>
      </c>
      <c r="BJ66" s="3">
        <f t="shared" si="53"/>
        <v>-103224123.46043751</v>
      </c>
      <c r="BK66" s="3">
        <f t="shared" si="54"/>
        <v>-95112040.088897213</v>
      </c>
      <c r="BL66" s="3">
        <f t="shared" si="55"/>
        <v>-84886701.799310535</v>
      </c>
      <c r="BM66" s="3">
        <f t="shared" si="56"/>
        <v>-71638388.966009289</v>
      </c>
      <c r="BN66" s="3">
        <f t="shared" si="57"/>
        <v>-54127616.971520185</v>
      </c>
      <c r="BO66" s="3">
        <f t="shared" si="58"/>
        <v>-30864023.434775136</v>
      </c>
      <c r="BP66" s="3">
        <f t="shared" si="59"/>
        <v>0</v>
      </c>
      <c r="BW66" s="17"/>
      <c r="BX66" s="3">
        <f t="shared" si="60"/>
        <v>0.17426273458445043</v>
      </c>
      <c r="BY66" s="3">
        <f t="shared" ref="BY66:CW66" si="109">$C$19/($C$20-$C$21*BX66)</f>
        <v>0.17972039376148968</v>
      </c>
      <c r="BZ66" s="3">
        <f t="shared" si="109"/>
        <v>0.17989684606081083</v>
      </c>
      <c r="CA66" s="3">
        <f t="shared" si="109"/>
        <v>0.179902556745832</v>
      </c>
      <c r="CB66" s="3">
        <f t="shared" si="109"/>
        <v>0.17990274157194241</v>
      </c>
      <c r="CC66" s="3">
        <f t="shared" si="109"/>
        <v>0.17990274755383903</v>
      </c>
      <c r="CD66" s="3">
        <f t="shared" si="109"/>
        <v>0.17990274774744311</v>
      </c>
      <c r="CE66" s="3">
        <f t="shared" si="109"/>
        <v>0.1799027477537091</v>
      </c>
      <c r="CF66" s="3">
        <f t="shared" si="109"/>
        <v>0.17990274775391188</v>
      </c>
      <c r="CG66" s="3">
        <f t="shared" si="109"/>
        <v>0.17990274775391843</v>
      </c>
      <c r="CH66" s="3">
        <f t="shared" si="109"/>
        <v>0.17990274775391865</v>
      </c>
      <c r="CI66" s="3">
        <f t="shared" si="109"/>
        <v>0.17990274775391865</v>
      </c>
      <c r="CJ66" s="3">
        <f t="shared" si="109"/>
        <v>0.17990274775391865</v>
      </c>
      <c r="CK66" s="3">
        <f t="shared" si="109"/>
        <v>0.17990274775391865</v>
      </c>
      <c r="CL66" s="3">
        <f t="shared" si="109"/>
        <v>0.17990274775391865</v>
      </c>
      <c r="CM66" s="3">
        <f t="shared" si="109"/>
        <v>0.17990274775391865</v>
      </c>
      <c r="CN66" s="3">
        <f t="shared" si="109"/>
        <v>0.17990274775391865</v>
      </c>
      <c r="CO66" s="3">
        <f t="shared" si="109"/>
        <v>0.17990274775391865</v>
      </c>
      <c r="CP66" s="3">
        <f t="shared" si="109"/>
        <v>0.17990274775391865</v>
      </c>
      <c r="CQ66" s="3">
        <f t="shared" si="109"/>
        <v>0.17990274775391865</v>
      </c>
      <c r="CR66" s="3">
        <f t="shared" si="109"/>
        <v>0.17990274775391865</v>
      </c>
      <c r="CS66" s="3">
        <f t="shared" si="109"/>
        <v>0.17990274775391865</v>
      </c>
      <c r="CT66" s="3">
        <f t="shared" si="109"/>
        <v>0.17990274775391865</v>
      </c>
      <c r="CU66" s="3">
        <f t="shared" si="109"/>
        <v>0.17990274775391865</v>
      </c>
      <c r="CV66" s="3">
        <f t="shared" si="109"/>
        <v>0.17990274775391865</v>
      </c>
      <c r="CW66" s="3">
        <f t="shared" si="109"/>
        <v>0.17990274775391865</v>
      </c>
      <c r="CX66" s="3">
        <v>0</v>
      </c>
      <c r="DE66" s="17"/>
      <c r="DF66" s="3">
        <f t="shared" si="62"/>
        <v>65.147453083109909</v>
      </c>
      <c r="DG66" s="3">
        <f t="shared" si="62"/>
        <v>57.821763757086984</v>
      </c>
      <c r="DH66" s="3">
        <f t="shared" si="63"/>
        <v>52.21972053947291</v>
      </c>
      <c r="DI66" s="3">
        <f t="shared" si="64"/>
        <v>47.900895456891355</v>
      </c>
      <c r="DJ66" s="3">
        <f t="shared" si="65"/>
        <v>44.573625593438614</v>
      </c>
      <c r="DK66" s="3">
        <f t="shared" si="66"/>
        <v>41.96984519265613</v>
      </c>
      <c r="DL66" s="3">
        <f t="shared" si="67"/>
        <v>39.883296664954543</v>
      </c>
      <c r="DM66" s="3">
        <f t="shared" si="68"/>
        <v>38.166173851205464</v>
      </c>
      <c r="DN66" s="3">
        <f t="shared" si="69"/>
        <v>36.714737306350244</v>
      </c>
      <c r="DO66" s="3">
        <f t="shared" si="70"/>
        <v>35.455743138280873</v>
      </c>
      <c r="DP66" s="3">
        <f t="shared" si="71"/>
        <v>34.336235266863</v>
      </c>
      <c r="DQ66" s="3">
        <f t="shared" si="72"/>
        <v>33.316425814665806</v>
      </c>
      <c r="DR66" s="3">
        <f t="shared" si="73"/>
        <v>32.364813238829122</v>
      </c>
      <c r="DS66" s="3">
        <f t="shared" si="74"/>
        <v>31.45475792416989</v>
      </c>
      <c r="DT66" s="3">
        <f t="shared" si="75"/>
        <v>30.561919798851605</v>
      </c>
      <c r="DU66" s="3">
        <f t="shared" si="76"/>
        <v>29.662110908369851</v>
      </c>
      <c r="DV66" s="3">
        <f t="shared" si="77"/>
        <v>28.729196276298783</v>
      </c>
      <c r="DW66" s="3">
        <f t="shared" si="78"/>
        <v>27.732686712919172</v>
      </c>
      <c r="DX66" s="3">
        <f t="shared" si="79"/>
        <v>26.634606411673001</v>
      </c>
      <c r="DY66" s="3">
        <f t="shared" si="80"/>
        <v>25.385081517240341</v>
      </c>
      <c r="DZ66" s="3">
        <f t="shared" si="81"/>
        <v>23.915888611105018</v>
      </c>
      <c r="EA66" s="3">
        <f t="shared" si="82"/>
        <v>22.13099183112282</v>
      </c>
      <c r="EB66" s="3">
        <f t="shared" si="83"/>
        <v>19.893175958182429</v>
      </c>
      <c r="EC66" s="3">
        <f t="shared" si="84"/>
        <v>17.007231467054055</v>
      </c>
      <c r="ED66" s="3">
        <f t="shared" si="85"/>
        <v>13.205702069656471</v>
      </c>
      <c r="EE66" s="3">
        <f t="shared" si="86"/>
        <v>8.1611078258765133</v>
      </c>
      <c r="EF66" s="3">
        <v>0</v>
      </c>
    </row>
    <row r="67" spans="7:136" x14ac:dyDescent="0.3">
      <c r="G67" s="16"/>
      <c r="H67" s="3">
        <f t="shared" si="107"/>
        <v>100</v>
      </c>
      <c r="I67" s="3">
        <f t="shared" si="8"/>
        <v>65.904731121939548</v>
      </c>
      <c r="J67" s="3">
        <f t="shared" si="9"/>
        <v>58.649773128288381</v>
      </c>
      <c r="K67" s="3">
        <f t="shared" si="10"/>
        <v>53.735486026054033</v>
      </c>
      <c r="L67" s="3">
        <f t="shared" si="11"/>
        <v>50.298122866411411</v>
      </c>
      <c r="M67" s="3">
        <f t="shared" si="12"/>
        <v>47.786933665116848</v>
      </c>
      <c r="N67" s="3">
        <f t="shared" si="13"/>
        <v>45.867342659957615</v>
      </c>
      <c r="O67" s="3">
        <f t="shared" si="14"/>
        <v>44.336284475179276</v>
      </c>
      <c r="P67" s="3">
        <f t="shared" si="15"/>
        <v>43.067715199146164</v>
      </c>
      <c r="Q67" s="3">
        <f t="shared" si="16"/>
        <v>41.980491102271095</v>
      </c>
      <c r="R67" s="3">
        <f t="shared" si="17"/>
        <v>41.01985029609336</v>
      </c>
      <c r="S67" s="3">
        <f t="shared" si="18"/>
        <v>40.146638006256453</v>
      </c>
      <c r="T67" s="3">
        <f t="shared" si="19"/>
        <v>39.330832715037616</v>
      </c>
      <c r="U67" s="3">
        <f t="shared" si="20"/>
        <v>38.547418528433361</v>
      </c>
      <c r="V67" s="3">
        <f t="shared" si="21"/>
        <v>37.773471937991538</v>
      </c>
      <c r="W67" s="3">
        <f t="shared" si="22"/>
        <v>36.985749161536731</v>
      </c>
      <c r="X67" s="3">
        <f t="shared" si="23"/>
        <v>36.158229655711899</v>
      </c>
      <c r="Y67" s="3">
        <f t="shared" si="24"/>
        <v>35.25905893976806</v>
      </c>
      <c r="Z67" s="3">
        <f t="shared" si="25"/>
        <v>34.246134312526742</v>
      </c>
      <c r="AA67" s="3">
        <f t="shared" si="26"/>
        <v>33.060111310011308</v>
      </c>
      <c r="AB67" s="3">
        <f t="shared" si="27"/>
        <v>31.612703248883868</v>
      </c>
      <c r="AC67" s="3">
        <f t="shared" si="28"/>
        <v>29.766519166084834</v>
      </c>
      <c r="AD67" s="3">
        <f t="shared" si="29"/>
        <v>27.300073465711773</v>
      </c>
      <c r="AE67" s="3">
        <f t="shared" si="30"/>
        <v>23.848591818089542</v>
      </c>
      <c r="AF67" s="3">
        <f t="shared" si="31"/>
        <v>18.813009587870553</v>
      </c>
      <c r="AG67" s="3">
        <f t="shared" si="32"/>
        <v>11.260628605348238</v>
      </c>
      <c r="AH67" s="3">
        <v>0</v>
      </c>
      <c r="AI67"/>
      <c r="AJ67"/>
      <c r="AK67"/>
      <c r="AL67"/>
      <c r="AO67" s="17"/>
      <c r="AP67" s="3">
        <f t="shared" si="33"/>
        <v>-358800000</v>
      </c>
      <c r="AQ67" s="3">
        <f t="shared" si="34"/>
        <v>-233133430.14409101</v>
      </c>
      <c r="AR67" s="3">
        <f t="shared" si="35"/>
        <v>-208188919.87196857</v>
      </c>
      <c r="AS67" s="3">
        <f t="shared" si="36"/>
        <v>-191385441.54917225</v>
      </c>
      <c r="AT67" s="3">
        <f t="shared" si="37"/>
        <v>-179580766.529598</v>
      </c>
      <c r="AU67" s="3">
        <f t="shared" si="38"/>
        <v>-170891729.79577798</v>
      </c>
      <c r="AV67" s="3">
        <f t="shared" si="39"/>
        <v>-164199129.89039198</v>
      </c>
      <c r="AW67" s="3">
        <f t="shared" si="40"/>
        <v>-158826664.15662408</v>
      </c>
      <c r="AX67" s="3">
        <f t="shared" si="41"/>
        <v>-154352915.53913218</v>
      </c>
      <c r="AY67" s="3">
        <f t="shared" si="42"/>
        <v>-150504513.37101278</v>
      </c>
      <c r="AZ67" s="3">
        <f t="shared" si="43"/>
        <v>-147095313.07398376</v>
      </c>
      <c r="BA67" s="3">
        <f t="shared" si="44"/>
        <v>-143991040.62234238</v>
      </c>
      <c r="BB67" s="3">
        <f t="shared" si="45"/>
        <v>-141087940.31892857</v>
      </c>
      <c r="BC67" s="3">
        <f t="shared" si="46"/>
        <v>-138299051.12538105</v>
      </c>
      <c r="BD67" s="3">
        <f t="shared" si="47"/>
        <v>-135544439.05055872</v>
      </c>
      <c r="BE67" s="3">
        <f t="shared" si="48"/>
        <v>-132743063.02543609</v>
      </c>
      <c r="BF67" s="3">
        <f t="shared" si="49"/>
        <v>-129804495.47475174</v>
      </c>
      <c r="BG67" s="3">
        <f t="shared" si="50"/>
        <v>-126618679.14334789</v>
      </c>
      <c r="BH67" s="3">
        <f t="shared" si="51"/>
        <v>-123041261.61326952</v>
      </c>
      <c r="BI67" s="3">
        <f t="shared" si="52"/>
        <v>-118870544.49706748</v>
      </c>
      <c r="BJ67" s="3">
        <f t="shared" si="53"/>
        <v>-113809105.77458484</v>
      </c>
      <c r="BK67" s="3">
        <f t="shared" si="54"/>
        <v>-107397568.76976676</v>
      </c>
      <c r="BL67" s="3">
        <f t="shared" si="55"/>
        <v>-98898054.885580644</v>
      </c>
      <c r="BM67" s="3">
        <f t="shared" si="56"/>
        <v>-87089092.866651833</v>
      </c>
      <c r="BN67" s="3">
        <f t="shared" si="57"/>
        <v>-69916583.771700054</v>
      </c>
      <c r="BO67" s="3">
        <f t="shared" si="58"/>
        <v>-43962137.537205368</v>
      </c>
      <c r="BP67" s="3">
        <f t="shared" si="59"/>
        <v>0</v>
      </c>
      <c r="BW67" s="17"/>
      <c r="BX67" s="3">
        <f t="shared" si="60"/>
        <v>0.17426273458445043</v>
      </c>
      <c r="BY67" s="3">
        <f t="shared" ref="BY67:CW67" si="110">$C$19/($C$20-$C$21*BX67)</f>
        <v>0.17972039376148968</v>
      </c>
      <c r="BZ67" s="3">
        <f t="shared" si="110"/>
        <v>0.17989684606081083</v>
      </c>
      <c r="CA67" s="3">
        <f t="shared" si="110"/>
        <v>0.179902556745832</v>
      </c>
      <c r="CB67" s="3">
        <f t="shared" si="110"/>
        <v>0.17990274157194241</v>
      </c>
      <c r="CC67" s="3">
        <f t="shared" si="110"/>
        <v>0.17990274755383903</v>
      </c>
      <c r="CD67" s="3">
        <f t="shared" si="110"/>
        <v>0.17990274774744311</v>
      </c>
      <c r="CE67" s="3">
        <f t="shared" si="110"/>
        <v>0.1799027477537091</v>
      </c>
      <c r="CF67" s="3">
        <f t="shared" si="110"/>
        <v>0.17990274775391188</v>
      </c>
      <c r="CG67" s="3">
        <f t="shared" si="110"/>
        <v>0.17990274775391843</v>
      </c>
      <c r="CH67" s="3">
        <f t="shared" si="110"/>
        <v>0.17990274775391865</v>
      </c>
      <c r="CI67" s="3">
        <f t="shared" si="110"/>
        <v>0.17990274775391865</v>
      </c>
      <c r="CJ67" s="3">
        <f t="shared" si="110"/>
        <v>0.17990274775391865</v>
      </c>
      <c r="CK67" s="3">
        <f t="shared" si="110"/>
        <v>0.17990274775391865</v>
      </c>
      <c r="CL67" s="3">
        <f t="shared" si="110"/>
        <v>0.17990274775391865</v>
      </c>
      <c r="CM67" s="3">
        <f t="shared" si="110"/>
        <v>0.17990274775391865</v>
      </c>
      <c r="CN67" s="3">
        <f t="shared" si="110"/>
        <v>0.17990274775391865</v>
      </c>
      <c r="CO67" s="3">
        <f t="shared" si="110"/>
        <v>0.17990274775391865</v>
      </c>
      <c r="CP67" s="3">
        <f t="shared" si="110"/>
        <v>0.17990274775391865</v>
      </c>
      <c r="CQ67" s="3">
        <f t="shared" si="110"/>
        <v>0.17990274775391865</v>
      </c>
      <c r="CR67" s="3">
        <f t="shared" si="110"/>
        <v>0.17990274775391865</v>
      </c>
      <c r="CS67" s="3">
        <f t="shared" si="110"/>
        <v>0.17990274775391865</v>
      </c>
      <c r="CT67" s="3">
        <f t="shared" si="110"/>
        <v>0.17990274775391865</v>
      </c>
      <c r="CU67" s="3">
        <f t="shared" si="110"/>
        <v>0.17990274775391865</v>
      </c>
      <c r="CV67" s="3">
        <f t="shared" si="110"/>
        <v>0.17990274775391865</v>
      </c>
      <c r="CW67" s="3">
        <f t="shared" si="110"/>
        <v>0.17990274775391865</v>
      </c>
      <c r="CX67" s="3">
        <v>0</v>
      </c>
      <c r="DE67" s="17"/>
      <c r="DF67" s="3">
        <f t="shared" si="62"/>
        <v>65.147453083109909</v>
      </c>
      <c r="DG67" s="3">
        <f t="shared" si="62"/>
        <v>55.364170801301519</v>
      </c>
      <c r="DH67" s="3">
        <f t="shared" si="63"/>
        <v>48.982928670656484</v>
      </c>
      <c r="DI67" s="3">
        <f t="shared" si="64"/>
        <v>44.686725122870627</v>
      </c>
      <c r="DJ67" s="3">
        <f t="shared" si="65"/>
        <v>41.701122488740339</v>
      </c>
      <c r="DK67" s="3">
        <f t="shared" si="66"/>
        <v>39.535272697597058</v>
      </c>
      <c r="DL67" s="3">
        <f t="shared" si="67"/>
        <v>37.891123257960558</v>
      </c>
      <c r="DM67" s="3">
        <f t="shared" si="68"/>
        <v>36.588284171378703</v>
      </c>
      <c r="DN67" s="3">
        <f t="shared" si="69"/>
        <v>35.515309497788948</v>
      </c>
      <c r="DO67" s="3">
        <f t="shared" si="70"/>
        <v>34.600907321549514</v>
      </c>
      <c r="DP67" s="3">
        <f t="shared" si="71"/>
        <v>33.797359805685922</v>
      </c>
      <c r="DQ67" s="3">
        <f t="shared" si="72"/>
        <v>33.070913129371469</v>
      </c>
      <c r="DR67" s="3">
        <f t="shared" si="73"/>
        <v>32.396046202952135</v>
      </c>
      <c r="DS67" s="3">
        <f t="shared" si="74"/>
        <v>31.751867134583144</v>
      </c>
      <c r="DT67" s="3">
        <f t="shared" si="75"/>
        <v>31.119634036093888</v>
      </c>
      <c r="DU67" s="3">
        <f t="shared" si="76"/>
        <v>30.48078429255693</v>
      </c>
      <c r="DV67" s="3">
        <f t="shared" si="77"/>
        <v>29.815028069230255</v>
      </c>
      <c r="DW67" s="3">
        <f t="shared" si="78"/>
        <v>29.098085276994741</v>
      </c>
      <c r="DX67" s="3">
        <f t="shared" si="79"/>
        <v>28.298529446805304</v>
      </c>
      <c r="DY67" s="3">
        <f t="shared" si="80"/>
        <v>27.37289913160787</v>
      </c>
      <c r="DZ67" s="3">
        <f t="shared" si="81"/>
        <v>26.257624659835525</v>
      </c>
      <c r="EA67" s="3">
        <f t="shared" si="82"/>
        <v>24.855160935719439</v>
      </c>
      <c r="EB67" s="3">
        <f t="shared" si="83"/>
        <v>23.009646267575842</v>
      </c>
      <c r="EC67" s="3">
        <f t="shared" si="84"/>
        <v>20.464079699710812</v>
      </c>
      <c r="ED67" s="3">
        <f t="shared" si="85"/>
        <v>16.78719156033203</v>
      </c>
      <c r="EE67" s="3">
        <f t="shared" si="86"/>
        <v>11.260628605348238</v>
      </c>
      <c r="EF67" s="3">
        <v>0</v>
      </c>
    </row>
    <row r="68" spans="7:136" x14ac:dyDescent="0.3">
      <c r="G68" s="16"/>
      <c r="H68" s="3">
        <f t="shared" si="107"/>
        <v>100</v>
      </c>
      <c r="I68" s="3">
        <f t="shared" si="8"/>
        <v>59.999553275805191</v>
      </c>
      <c r="J68" s="3">
        <f t="shared" si="9"/>
        <v>52.45382523962239</v>
      </c>
      <c r="K68" s="3">
        <f t="shared" si="10"/>
        <v>48.380426269678182</v>
      </c>
      <c r="L68" s="3">
        <f t="shared" si="11"/>
        <v>45.928786571103579</v>
      </c>
      <c r="M68" s="3">
        <f t="shared" si="12"/>
        <v>44.301662733067317</v>
      </c>
      <c r="N68" s="3">
        <f t="shared" si="13"/>
        <v>43.129822624638081</v>
      </c>
      <c r="O68" s="3">
        <f t="shared" si="14"/>
        <v>42.228702047496093</v>
      </c>
      <c r="P68" s="3">
        <f t="shared" si="15"/>
        <v>41.498652118747678</v>
      </c>
      <c r="Q68" s="3">
        <f t="shared" si="16"/>
        <v>40.881620311663696</v>
      </c>
      <c r="R68" s="3">
        <f t="shared" si="17"/>
        <v>40.341133305669317</v>
      </c>
      <c r="S68" s="3">
        <f t="shared" si="18"/>
        <v>39.852416130444624</v>
      </c>
      <c r="T68" s="3">
        <f t="shared" si="19"/>
        <v>39.397147556942812</v>
      </c>
      <c r="U68" s="3">
        <f t="shared" si="20"/>
        <v>38.960416637088372</v>
      </c>
      <c r="V68" s="3">
        <f t="shared" si="21"/>
        <v>38.528716893104942</v>
      </c>
      <c r="W68" s="3">
        <f t="shared" si="22"/>
        <v>38.088346725022049</v>
      </c>
      <c r="X68" s="3">
        <f t="shared" si="23"/>
        <v>37.623777030667625</v>
      </c>
      <c r="Y68" s="3">
        <f t="shared" si="24"/>
        <v>37.115534032622158</v>
      </c>
      <c r="Z68" s="3">
        <f t="shared" si="25"/>
        <v>36.536918359683021</v>
      </c>
      <c r="AA68" s="3">
        <f t="shared" si="26"/>
        <v>35.848282013952279</v>
      </c>
      <c r="AB68" s="3">
        <f t="shared" si="27"/>
        <v>34.986159399825922</v>
      </c>
      <c r="AC68" s="3">
        <f t="shared" si="28"/>
        <v>33.841106279946843</v>
      </c>
      <c r="AD68" s="3">
        <f t="shared" si="29"/>
        <v>32.209464592016083</v>
      </c>
      <c r="AE68" s="3">
        <f t="shared" si="30"/>
        <v>29.681708707091467</v>
      </c>
      <c r="AF68" s="3">
        <f t="shared" si="31"/>
        <v>25.368815303914332</v>
      </c>
      <c r="AG68" s="3">
        <f t="shared" si="32"/>
        <v>17.196361658050627</v>
      </c>
      <c r="AH68" s="3">
        <v>0</v>
      </c>
      <c r="AI68"/>
      <c r="AJ68"/>
      <c r="AK68"/>
      <c r="AL68"/>
      <c r="AO68" s="17"/>
      <c r="AP68" s="3">
        <f t="shared" si="33"/>
        <v>-358800000</v>
      </c>
      <c r="AQ68" s="3">
        <f t="shared" si="34"/>
        <v>-207544843.06929988</v>
      </c>
      <c r="AR68" s="3">
        <f t="shared" si="35"/>
        <v>-184871746.42137763</v>
      </c>
      <c r="AS68" s="3">
        <f t="shared" si="36"/>
        <v>-172032480.98947847</v>
      </c>
      <c r="AT68" s="3">
        <f t="shared" si="37"/>
        <v>-164001154.57516593</v>
      </c>
      <c r="AU68" s="3">
        <f t="shared" si="38"/>
        <v>-158517405.92155847</v>
      </c>
      <c r="AV68" s="3">
        <f t="shared" si="39"/>
        <v>-154489979.67149439</v>
      </c>
      <c r="AW68" s="3">
        <f t="shared" si="40"/>
        <v>-151352397.36362445</v>
      </c>
      <c r="AX68" s="3">
        <f t="shared" si="41"/>
        <v>-148788694.31097788</v>
      </c>
      <c r="AY68" s="3">
        <f t="shared" si="42"/>
        <v>-146609789.5691542</v>
      </c>
      <c r="AZ68" s="3">
        <f t="shared" si="43"/>
        <v>-144694300.04587689</v>
      </c>
      <c r="BA68" s="3">
        <f t="shared" si="44"/>
        <v>-142958366.67729539</v>
      </c>
      <c r="BB68" s="3">
        <f t="shared" si="45"/>
        <v>-141339173.86400777</v>
      </c>
      <c r="BC68" s="3">
        <f t="shared" si="46"/>
        <v>-139785146.20730257</v>
      </c>
      <c r="BD68" s="3">
        <f t="shared" si="47"/>
        <v>-138249357.67875054</v>
      </c>
      <c r="BE68" s="3">
        <f t="shared" si="48"/>
        <v>-136684213.6194081</v>
      </c>
      <c r="BF68" s="3">
        <f t="shared" si="49"/>
        <v>-135036027.57404706</v>
      </c>
      <c r="BG68" s="3">
        <f t="shared" si="50"/>
        <v>-133238076.50097714</v>
      </c>
      <c r="BH68" s="3">
        <f t="shared" si="51"/>
        <v>-131200055.75482441</v>
      </c>
      <c r="BI68" s="3">
        <f t="shared" si="52"/>
        <v>-128790139.84760492</v>
      </c>
      <c r="BJ68" s="3">
        <f t="shared" si="53"/>
        <v>-125801883.3527139</v>
      </c>
      <c r="BK68" s="3">
        <f t="shared" si="54"/>
        <v>-121888894.21245345</v>
      </c>
      <c r="BL68" s="3">
        <f t="shared" si="55"/>
        <v>-116427607.32250312</v>
      </c>
      <c r="BM68" s="3">
        <f t="shared" si="56"/>
        <v>-108211262.08387074</v>
      </c>
      <c r="BN68" s="3">
        <f t="shared" si="57"/>
        <v>-94727534.165586039</v>
      </c>
      <c r="BO68" s="3">
        <f t="shared" si="58"/>
        <v>-70361269.195349991</v>
      </c>
      <c r="BP68" s="3">
        <f t="shared" si="59"/>
        <v>0</v>
      </c>
      <c r="BW68" s="17"/>
      <c r="BX68" s="3">
        <f t="shared" si="60"/>
        <v>0.17426273458445043</v>
      </c>
      <c r="BY68" s="3">
        <f t="shared" ref="BY68:CW68" si="111">$C$19/($C$20-$C$21*BX68)</f>
        <v>0.17972039376148968</v>
      </c>
      <c r="BZ68" s="3">
        <f t="shared" si="111"/>
        <v>0.17989684606081083</v>
      </c>
      <c r="CA68" s="3">
        <f t="shared" si="111"/>
        <v>0.179902556745832</v>
      </c>
      <c r="CB68" s="3">
        <f t="shared" si="111"/>
        <v>0.17990274157194241</v>
      </c>
      <c r="CC68" s="3">
        <f t="shared" si="111"/>
        <v>0.17990274755383903</v>
      </c>
      <c r="CD68" s="3">
        <f t="shared" si="111"/>
        <v>0.17990274774744311</v>
      </c>
      <c r="CE68" s="3">
        <f t="shared" si="111"/>
        <v>0.1799027477537091</v>
      </c>
      <c r="CF68" s="3">
        <f t="shared" si="111"/>
        <v>0.17990274775391188</v>
      </c>
      <c r="CG68" s="3">
        <f t="shared" si="111"/>
        <v>0.17990274775391843</v>
      </c>
      <c r="CH68" s="3">
        <f t="shared" si="111"/>
        <v>0.17990274775391865</v>
      </c>
      <c r="CI68" s="3">
        <f t="shared" si="111"/>
        <v>0.17990274775391865</v>
      </c>
      <c r="CJ68" s="3">
        <f t="shared" si="111"/>
        <v>0.17990274775391865</v>
      </c>
      <c r="CK68" s="3">
        <f t="shared" si="111"/>
        <v>0.17990274775391865</v>
      </c>
      <c r="CL68" s="3">
        <f t="shared" si="111"/>
        <v>0.17990274775391865</v>
      </c>
      <c r="CM68" s="3">
        <f t="shared" si="111"/>
        <v>0.17990274775391865</v>
      </c>
      <c r="CN68" s="3">
        <f t="shared" si="111"/>
        <v>0.17990274775391865</v>
      </c>
      <c r="CO68" s="3">
        <f t="shared" si="111"/>
        <v>0.17990274775391865</v>
      </c>
      <c r="CP68" s="3">
        <f t="shared" si="111"/>
        <v>0.17990274775391865</v>
      </c>
      <c r="CQ68" s="3">
        <f t="shared" si="111"/>
        <v>0.17990274775391865</v>
      </c>
      <c r="CR68" s="3">
        <f t="shared" si="111"/>
        <v>0.17990274775391865</v>
      </c>
      <c r="CS68" s="3">
        <f t="shared" si="111"/>
        <v>0.17990274775391865</v>
      </c>
      <c r="CT68" s="3">
        <f t="shared" si="111"/>
        <v>0.17990274775391865</v>
      </c>
      <c r="CU68" s="3">
        <f t="shared" si="111"/>
        <v>0.17990274775391865</v>
      </c>
      <c r="CV68" s="3">
        <f t="shared" si="111"/>
        <v>0.17990274775391865</v>
      </c>
      <c r="CW68" s="3">
        <f t="shared" si="111"/>
        <v>0.17990274775391865</v>
      </c>
      <c r="CX68" s="3">
        <v>0</v>
      </c>
      <c r="DE68" s="17"/>
      <c r="DF68" s="3">
        <f t="shared" si="62"/>
        <v>65.147453083109909</v>
      </c>
      <c r="DG68" s="3">
        <f t="shared" si="62"/>
        <v>50.57253114944389</v>
      </c>
      <c r="DH68" s="3">
        <f t="shared" si="63"/>
        <v>43.750339142629684</v>
      </c>
      <c r="DI68" s="3">
        <f t="shared" si="64"/>
        <v>40.11772013730301</v>
      </c>
      <c r="DJ68" s="3">
        <f t="shared" si="65"/>
        <v>37.958795989229216</v>
      </c>
      <c r="DK68" s="3">
        <f t="shared" si="66"/>
        <v>36.542489141385197</v>
      </c>
      <c r="DL68" s="3">
        <f t="shared" si="67"/>
        <v>35.532763092485453</v>
      </c>
      <c r="DM68" s="3">
        <f t="shared" si="68"/>
        <v>34.762980503258106</v>
      </c>
      <c r="DN68" s="3">
        <f t="shared" si="69"/>
        <v>34.143936292047243</v>
      </c>
      <c r="DO68" s="3">
        <f t="shared" si="70"/>
        <v>33.624139582466668</v>
      </c>
      <c r="DP68" s="3">
        <f t="shared" si="71"/>
        <v>33.171574139169735</v>
      </c>
      <c r="DQ68" s="3">
        <f t="shared" si="72"/>
        <v>32.764761031284031</v>
      </c>
      <c r="DR68" s="3">
        <f t="shared" si="73"/>
        <v>32.388061550293124</v>
      </c>
      <c r="DS68" s="3">
        <f t="shared" si="74"/>
        <v>32.028994600585968</v>
      </c>
      <c r="DT68" s="3">
        <f t="shared" si="75"/>
        <v>31.676518659869505</v>
      </c>
      <c r="DU68" s="3">
        <f t="shared" si="76"/>
        <v>31.319725856324169</v>
      </c>
      <c r="DV68" s="3">
        <f t="shared" si="77"/>
        <v>30.946590473844818</v>
      </c>
      <c r="DW68" s="3">
        <f t="shared" si="78"/>
        <v>30.542442025254584</v>
      </c>
      <c r="DX68" s="3">
        <f t="shared" si="79"/>
        <v>30.087713923115626</v>
      </c>
      <c r="DY68" s="3">
        <f t="shared" si="80"/>
        <v>29.554175804567006</v>
      </c>
      <c r="DZ68" s="3">
        <f t="shared" si="81"/>
        <v>28.898051393031096</v>
      </c>
      <c r="EA68" s="3">
        <f t="shared" si="82"/>
        <v>28.0465350961606</v>
      </c>
      <c r="EB68" s="3">
        <f t="shared" si="83"/>
        <v>26.869643637578918</v>
      </c>
      <c r="EC68" s="3">
        <f t="shared" si="84"/>
        <v>25.117789126655616</v>
      </c>
      <c r="ED68" s="3">
        <f t="shared" si="85"/>
        <v>22.275142590260891</v>
      </c>
      <c r="EE68" s="3">
        <f t="shared" si="86"/>
        <v>17.196361658050627</v>
      </c>
      <c r="EF68" s="3">
        <v>0</v>
      </c>
    </row>
    <row r="69" spans="7:136" x14ac:dyDescent="0.3">
      <c r="G69" s="16"/>
      <c r="H69" s="3">
        <f t="shared" si="107"/>
        <v>100</v>
      </c>
      <c r="I69" s="3">
        <v>50</v>
      </c>
      <c r="J69" s="3">
        <v>50</v>
      </c>
      <c r="K69" s="3">
        <v>50</v>
      </c>
      <c r="L69" s="3">
        <v>50</v>
      </c>
      <c r="M69" s="3">
        <v>50</v>
      </c>
      <c r="N69" s="3">
        <v>50</v>
      </c>
      <c r="O69" s="3">
        <v>50</v>
      </c>
      <c r="P69" s="3">
        <v>50</v>
      </c>
      <c r="Q69" s="3">
        <v>50</v>
      </c>
      <c r="R69" s="3">
        <v>50</v>
      </c>
      <c r="S69" s="3">
        <v>50</v>
      </c>
      <c r="T69" s="3">
        <v>50</v>
      </c>
      <c r="U69" s="3">
        <v>50</v>
      </c>
      <c r="V69" s="3">
        <v>50</v>
      </c>
      <c r="W69" s="3">
        <v>50</v>
      </c>
      <c r="X69" s="3">
        <v>50</v>
      </c>
      <c r="Y69" s="3">
        <v>50</v>
      </c>
      <c r="Z69" s="3">
        <v>50</v>
      </c>
      <c r="AA69" s="3">
        <v>50</v>
      </c>
      <c r="AB69" s="3">
        <v>50</v>
      </c>
      <c r="AC69" s="3">
        <v>50</v>
      </c>
      <c r="AD69" s="3">
        <v>50</v>
      </c>
      <c r="AE69" s="3">
        <v>50</v>
      </c>
      <c r="AF69" s="3">
        <v>50</v>
      </c>
      <c r="AG69" s="3">
        <v>50</v>
      </c>
      <c r="AH69" s="3">
        <v>0</v>
      </c>
      <c r="AI69"/>
      <c r="AJ69"/>
      <c r="AK69"/>
      <c r="AL69"/>
      <c r="AO69" s="17"/>
      <c r="AP69" s="3">
        <f t="shared" si="33"/>
        <v>-358800000</v>
      </c>
      <c r="AQ69" s="3">
        <f t="shared" si="34"/>
        <v>-179400000</v>
      </c>
      <c r="AR69" s="3">
        <f t="shared" si="35"/>
        <v>-179400000</v>
      </c>
      <c r="AS69" s="3">
        <f t="shared" si="36"/>
        <v>-179400000</v>
      </c>
      <c r="AT69" s="3">
        <f t="shared" si="37"/>
        <v>-179400000</v>
      </c>
      <c r="AU69" s="3">
        <f t="shared" si="38"/>
        <v>-179400000</v>
      </c>
      <c r="AV69" s="3">
        <f t="shared" si="39"/>
        <v>-179400000</v>
      </c>
      <c r="AW69" s="3">
        <f t="shared" si="40"/>
        <v>-179400000</v>
      </c>
      <c r="AX69" s="3">
        <f t="shared" si="41"/>
        <v>-179400000</v>
      </c>
      <c r="AY69" s="3">
        <f t="shared" si="42"/>
        <v>-179400000</v>
      </c>
      <c r="AZ69" s="3">
        <f t="shared" si="43"/>
        <v>-179400000</v>
      </c>
      <c r="BA69" s="3">
        <f t="shared" si="44"/>
        <v>-179400000</v>
      </c>
      <c r="BB69" s="3">
        <f t="shared" si="45"/>
        <v>-179400000</v>
      </c>
      <c r="BC69" s="3">
        <f t="shared" si="46"/>
        <v>-179400000</v>
      </c>
      <c r="BD69" s="3">
        <f t="shared" si="47"/>
        <v>-179400000</v>
      </c>
      <c r="BE69" s="3">
        <f t="shared" si="48"/>
        <v>-179400000</v>
      </c>
      <c r="BF69" s="3">
        <f t="shared" si="49"/>
        <v>-179400000</v>
      </c>
      <c r="BG69" s="3">
        <f t="shared" si="50"/>
        <v>-179400000</v>
      </c>
      <c r="BH69" s="3">
        <f t="shared" si="51"/>
        <v>-179400000</v>
      </c>
      <c r="BI69" s="3">
        <f t="shared" si="52"/>
        <v>-179400000</v>
      </c>
      <c r="BJ69" s="3">
        <f t="shared" si="53"/>
        <v>-179400000</v>
      </c>
      <c r="BK69" s="3">
        <f t="shared" si="54"/>
        <v>-179400000</v>
      </c>
      <c r="BL69" s="3">
        <f t="shared" si="55"/>
        <v>-179400000</v>
      </c>
      <c r="BM69" s="3">
        <f t="shared" si="56"/>
        <v>-179400000</v>
      </c>
      <c r="BN69" s="3">
        <f t="shared" si="57"/>
        <v>-179400000</v>
      </c>
      <c r="BO69" s="3">
        <f t="shared" si="58"/>
        <v>-179400000</v>
      </c>
      <c r="BP69" s="3">
        <f t="shared" si="59"/>
        <v>0</v>
      </c>
      <c r="BW69" s="17"/>
      <c r="BX69" s="3">
        <v>0</v>
      </c>
      <c r="BY69" s="3">
        <v>0</v>
      </c>
      <c r="BZ69" s="3">
        <v>0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DE69" s="17"/>
      <c r="DF69" s="3">
        <f t="shared" si="62"/>
        <v>65.147453083109909</v>
      </c>
      <c r="DG69" s="3">
        <v>50</v>
      </c>
      <c r="DH69" s="3">
        <v>50</v>
      </c>
      <c r="DI69" s="3">
        <v>50</v>
      </c>
      <c r="DJ69" s="3">
        <v>50</v>
      </c>
      <c r="DK69" s="3">
        <v>50</v>
      </c>
      <c r="DL69" s="3">
        <v>50</v>
      </c>
      <c r="DM69" s="3">
        <v>50</v>
      </c>
      <c r="DN69" s="3">
        <v>50</v>
      </c>
      <c r="DO69" s="3">
        <v>50</v>
      </c>
      <c r="DP69" s="3">
        <v>50</v>
      </c>
      <c r="DQ69" s="3">
        <v>50</v>
      </c>
      <c r="DR69" s="3">
        <v>50</v>
      </c>
      <c r="DS69" s="3">
        <v>50</v>
      </c>
      <c r="DT69" s="3">
        <v>50</v>
      </c>
      <c r="DU69" s="3">
        <v>50</v>
      </c>
      <c r="DV69" s="3">
        <v>50</v>
      </c>
      <c r="DW69" s="3">
        <v>50</v>
      </c>
      <c r="DX69" s="3">
        <v>50</v>
      </c>
      <c r="DY69" s="3">
        <v>50</v>
      </c>
      <c r="DZ69" s="3">
        <v>50</v>
      </c>
      <c r="EA69" s="3">
        <v>50</v>
      </c>
      <c r="EB69" s="3">
        <v>50</v>
      </c>
      <c r="EC69" s="3">
        <v>50</v>
      </c>
      <c r="ED69" s="3">
        <v>50</v>
      </c>
      <c r="EE69" s="3">
        <v>50</v>
      </c>
      <c r="EF69" s="3">
        <v>0</v>
      </c>
    </row>
    <row r="70" spans="7:136" x14ac:dyDescent="0.3">
      <c r="G70"/>
      <c r="H70"/>
      <c r="AI70"/>
      <c r="AJ70"/>
      <c r="AK70"/>
      <c r="AL70"/>
      <c r="AO70" s="17"/>
      <c r="BW70" s="18"/>
      <c r="DE70" s="18"/>
    </row>
    <row r="71" spans="7:136" x14ac:dyDescent="0.3">
      <c r="G71"/>
      <c r="H71"/>
      <c r="AI71"/>
      <c r="AJ71"/>
      <c r="AK71"/>
      <c r="AL71"/>
      <c r="AO71" s="17"/>
      <c r="BW71" s="18"/>
      <c r="DE71" s="18"/>
    </row>
    <row r="72" spans="7:136" x14ac:dyDescent="0.3">
      <c r="G72"/>
      <c r="H72"/>
      <c r="AI72"/>
      <c r="AJ72"/>
      <c r="AK72"/>
      <c r="AL72"/>
      <c r="AO72" s="17"/>
      <c r="BW72" s="18"/>
      <c r="DE72" s="18"/>
    </row>
    <row r="73" spans="7:136" x14ac:dyDescent="0.3">
      <c r="G73"/>
      <c r="H73"/>
      <c r="AI73"/>
      <c r="AJ73"/>
      <c r="AK73"/>
      <c r="AL73"/>
      <c r="AO73" s="17"/>
      <c r="BW73" s="18"/>
      <c r="DE73" s="18"/>
    </row>
    <row r="74" spans="7:136" x14ac:dyDescent="0.3">
      <c r="DE74" s="19"/>
    </row>
    <row r="75" spans="7:136" x14ac:dyDescent="0.3">
      <c r="G75" s="15" t="s">
        <v>30</v>
      </c>
      <c r="H75" s="14">
        <v>0</v>
      </c>
      <c r="I75" s="13">
        <f t="shared" ref="I75:AH75" si="112">H75+$C$4</f>
        <v>6.9230769230769224E-3</v>
      </c>
      <c r="J75" s="13">
        <f t="shared" si="112"/>
        <v>1.3846153846153845E-2</v>
      </c>
      <c r="K75" s="13">
        <f t="shared" si="112"/>
        <v>2.0769230769230769E-2</v>
      </c>
      <c r="L75" s="13">
        <f t="shared" si="112"/>
        <v>2.769230769230769E-2</v>
      </c>
      <c r="M75" s="13">
        <f t="shared" si="112"/>
        <v>3.461538461538461E-2</v>
      </c>
      <c r="N75" s="13">
        <f t="shared" si="112"/>
        <v>4.1538461538461531E-2</v>
      </c>
      <c r="O75" s="13">
        <f t="shared" si="112"/>
        <v>4.8461538461538452E-2</v>
      </c>
      <c r="P75" s="13">
        <f t="shared" si="112"/>
        <v>5.5384615384615372E-2</v>
      </c>
      <c r="Q75" s="13">
        <f t="shared" si="112"/>
        <v>6.2307692307692293E-2</v>
      </c>
      <c r="R75" s="13">
        <f t="shared" si="112"/>
        <v>6.9230769230769221E-2</v>
      </c>
      <c r="S75" s="13">
        <f t="shared" si="112"/>
        <v>7.6153846153846141E-2</v>
      </c>
      <c r="T75" s="13">
        <f t="shared" si="112"/>
        <v>8.3076923076923062E-2</v>
      </c>
      <c r="U75" s="13">
        <f t="shared" si="112"/>
        <v>8.9999999999999983E-2</v>
      </c>
      <c r="V75" s="13">
        <f t="shared" si="112"/>
        <v>9.6923076923076903E-2</v>
      </c>
      <c r="W75" s="13">
        <f t="shared" si="112"/>
        <v>0.10384615384615382</v>
      </c>
      <c r="X75" s="13">
        <f t="shared" si="112"/>
        <v>0.11076923076923074</v>
      </c>
      <c r="Y75" s="13">
        <f t="shared" si="112"/>
        <v>0.11769230769230767</v>
      </c>
      <c r="Z75" s="13">
        <f t="shared" si="112"/>
        <v>0.12461538461538459</v>
      </c>
      <c r="AA75" s="13">
        <f t="shared" si="112"/>
        <v>0.13153846153846152</v>
      </c>
      <c r="AB75" s="13">
        <f t="shared" si="112"/>
        <v>0.13846153846153844</v>
      </c>
      <c r="AC75" s="13">
        <f t="shared" si="112"/>
        <v>0.14538461538461536</v>
      </c>
      <c r="AD75" s="13">
        <f t="shared" si="112"/>
        <v>0.15230769230769228</v>
      </c>
      <c r="AE75" s="13">
        <f t="shared" si="112"/>
        <v>0.1592307692307692</v>
      </c>
      <c r="AF75" s="13">
        <f t="shared" si="112"/>
        <v>0.16615384615384612</v>
      </c>
      <c r="AG75" s="13">
        <f t="shared" si="112"/>
        <v>0.17307692307692304</v>
      </c>
      <c r="AH75" s="13">
        <f t="shared" si="112"/>
        <v>0.17999999999999997</v>
      </c>
      <c r="AI75"/>
      <c r="AJ75"/>
      <c r="AK75"/>
      <c r="AL75"/>
    </row>
    <row r="76" spans="7:136" x14ac:dyDescent="0.3">
      <c r="G76" s="16"/>
      <c r="H76" s="3">
        <f t="shared" ref="H76:H97" si="113">$C$13</f>
        <v>100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v>0</v>
      </c>
      <c r="AD76" s="3">
        <v>0</v>
      </c>
      <c r="AE76" s="3">
        <v>0</v>
      </c>
      <c r="AF76" s="3">
        <v>0</v>
      </c>
      <c r="AG76" s="3">
        <v>0</v>
      </c>
      <c r="AH76" s="3">
        <v>0</v>
      </c>
      <c r="AI76"/>
      <c r="AJ76"/>
      <c r="AK76"/>
      <c r="AL76"/>
      <c r="AO76" s="17" t="s">
        <v>27</v>
      </c>
      <c r="AP76" s="3">
        <f>-$C$10*$C$9/$C$6*H43</f>
        <v>-358800000</v>
      </c>
      <c r="AQ76" s="3">
        <f t="shared" ref="AQ76:BP76" si="114">-$C$10*$C$9/$C$6*I43</f>
        <v>0</v>
      </c>
      <c r="AR76" s="3">
        <f t="shared" si="114"/>
        <v>0</v>
      </c>
      <c r="AS76" s="3">
        <f t="shared" si="114"/>
        <v>0</v>
      </c>
      <c r="AT76" s="3">
        <f t="shared" si="114"/>
        <v>0</v>
      </c>
      <c r="AU76" s="3">
        <f t="shared" si="114"/>
        <v>0</v>
      </c>
      <c r="AV76" s="3">
        <f t="shared" si="114"/>
        <v>0</v>
      </c>
      <c r="AW76" s="3">
        <f t="shared" si="114"/>
        <v>0</v>
      </c>
      <c r="AX76" s="3">
        <f t="shared" si="114"/>
        <v>0</v>
      </c>
      <c r="AY76" s="3">
        <f t="shared" si="114"/>
        <v>0</v>
      </c>
      <c r="AZ76" s="3">
        <f t="shared" si="114"/>
        <v>0</v>
      </c>
      <c r="BA76" s="3">
        <f t="shared" si="114"/>
        <v>0</v>
      </c>
      <c r="BB76" s="3">
        <f t="shared" si="114"/>
        <v>0</v>
      </c>
      <c r="BC76" s="3">
        <f t="shared" si="114"/>
        <v>0</v>
      </c>
      <c r="BD76" s="3">
        <f t="shared" si="114"/>
        <v>0</v>
      </c>
      <c r="BE76" s="3">
        <f t="shared" si="114"/>
        <v>0</v>
      </c>
      <c r="BF76" s="3">
        <f t="shared" si="114"/>
        <v>0</v>
      </c>
      <c r="BG76" s="3">
        <f t="shared" si="114"/>
        <v>0</v>
      </c>
      <c r="BH76" s="3">
        <f t="shared" si="114"/>
        <v>0</v>
      </c>
      <c r="BI76" s="3">
        <f t="shared" si="114"/>
        <v>0</v>
      </c>
      <c r="BJ76" s="3">
        <f t="shared" si="114"/>
        <v>0</v>
      </c>
      <c r="BK76" s="3">
        <f t="shared" si="114"/>
        <v>0</v>
      </c>
      <c r="BL76" s="3">
        <f t="shared" si="114"/>
        <v>0</v>
      </c>
      <c r="BM76" s="3">
        <f t="shared" si="114"/>
        <v>0</v>
      </c>
      <c r="BN76" s="3">
        <f t="shared" si="114"/>
        <v>0</v>
      </c>
      <c r="BO76" s="3">
        <f t="shared" si="114"/>
        <v>0</v>
      </c>
      <c r="BP76" s="3">
        <f t="shared" si="114"/>
        <v>0</v>
      </c>
      <c r="BW76" s="17" t="s">
        <v>28</v>
      </c>
      <c r="BX76" s="3">
        <v>1</v>
      </c>
      <c r="BY76" s="3">
        <v>0</v>
      </c>
      <c r="BZ76" s="3">
        <v>0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DE76" s="17" t="s">
        <v>29</v>
      </c>
      <c r="DF76" s="3">
        <v>100</v>
      </c>
      <c r="DG76" s="3">
        <v>0</v>
      </c>
      <c r="DH76" s="3">
        <v>0</v>
      </c>
      <c r="DI76" s="3">
        <v>0</v>
      </c>
      <c r="DJ76" s="3">
        <v>0</v>
      </c>
      <c r="DK76" s="3">
        <v>0</v>
      </c>
      <c r="DL76" s="3">
        <v>0</v>
      </c>
      <c r="DM76" s="3">
        <v>0</v>
      </c>
      <c r="DN76" s="3">
        <v>0</v>
      </c>
      <c r="DO76" s="3">
        <v>0</v>
      </c>
      <c r="DP76" s="3">
        <v>0</v>
      </c>
      <c r="DQ76" s="3">
        <v>0</v>
      </c>
      <c r="DR76" s="3">
        <v>0</v>
      </c>
      <c r="DS76" s="3">
        <v>0</v>
      </c>
      <c r="DT76" s="3">
        <v>0</v>
      </c>
      <c r="DU76" s="3">
        <v>0</v>
      </c>
      <c r="DV76" s="3">
        <v>0</v>
      </c>
      <c r="DW76" s="3">
        <v>0</v>
      </c>
      <c r="DX76" s="3">
        <v>0</v>
      </c>
      <c r="DY76" s="3">
        <v>0</v>
      </c>
      <c r="DZ76" s="3">
        <v>0</v>
      </c>
      <c r="EA76" s="3">
        <v>0</v>
      </c>
      <c r="EB76" s="3">
        <v>0</v>
      </c>
      <c r="EC76" s="3">
        <v>0</v>
      </c>
      <c r="ED76" s="3">
        <v>0</v>
      </c>
      <c r="EE76" s="3">
        <v>0</v>
      </c>
      <c r="EF76" s="3">
        <v>0</v>
      </c>
    </row>
    <row r="77" spans="7:136" x14ac:dyDescent="0.3">
      <c r="G77" s="16"/>
      <c r="H77" s="3">
        <f t="shared" si="113"/>
        <v>100</v>
      </c>
      <c r="I77" s="3">
        <f>I76*BY77+DG77</f>
        <v>34.140812250037214</v>
      </c>
      <c r="J77" s="3">
        <f t="shared" ref="J77:AG77" si="115">J76*BZ77+DH77</f>
        <v>22.065123876741612</v>
      </c>
      <c r="K77" s="3">
        <f t="shared" si="115"/>
        <v>15.668701866036805</v>
      </c>
      <c r="L77" s="3">
        <f t="shared" si="115"/>
        <v>11.928105480219875</v>
      </c>
      <c r="M77" s="3">
        <f t="shared" si="115"/>
        <v>9.5389520809398931</v>
      </c>
      <c r="N77" s="3">
        <f t="shared" si="115"/>
        <v>7.8965832624798349</v>
      </c>
      <c r="O77" s="3">
        <f t="shared" si="115"/>
        <v>6.6989729839448495</v>
      </c>
      <c r="P77" s="3">
        <f t="shared" si="115"/>
        <v>5.7838058601768632</v>
      </c>
      <c r="Q77" s="3">
        <f t="shared" si="115"/>
        <v>5.0577101509568427</v>
      </c>
      <c r="R77" s="3">
        <f t="shared" si="115"/>
        <v>4.4636140521961343</v>
      </c>
      <c r="S77" s="3">
        <f t="shared" si="115"/>
        <v>3.9647471071210965</v>
      </c>
      <c r="T77" s="3">
        <f t="shared" si="115"/>
        <v>3.5363280549376648</v>
      </c>
      <c r="U77" s="3">
        <f t="shared" si="115"/>
        <v>3.1610063774355486</v>
      </c>
      <c r="V77" s="3">
        <f t="shared" si="115"/>
        <v>2.8262381286542788</v>
      </c>
      <c r="W77" s="3">
        <f t="shared" si="115"/>
        <v>2.5227093892720349</v>
      </c>
      <c r="X77" s="3">
        <f t="shared" si="115"/>
        <v>2.2433530941825057</v>
      </c>
      <c r="Y77" s="3">
        <f t="shared" si="115"/>
        <v>1.9827153261264789</v>
      </c>
      <c r="Z77" s="3">
        <f t="shared" si="115"/>
        <v>1.7365342978387528</v>
      </c>
      <c r="AA77" s="3">
        <f t="shared" si="115"/>
        <v>1.5014521963860703</v>
      </c>
      <c r="AB77" s="3">
        <f t="shared" si="115"/>
        <v>1.2748115655469827</v>
      </c>
      <c r="AC77" s="3">
        <f t="shared" si="115"/>
        <v>1.0545059901618441</v>
      </c>
      <c r="AD77" s="3">
        <f t="shared" si="115"/>
        <v>0.83886562080024063</v>
      </c>
      <c r="AE77" s="3">
        <f t="shared" si="115"/>
        <v>0.62656474658867167</v>
      </c>
      <c r="AF77" s="3">
        <f t="shared" si="115"/>
        <v>0.41654292729446757</v>
      </c>
      <c r="AG77" s="3">
        <f t="shared" si="115"/>
        <v>0.20793408975819494</v>
      </c>
      <c r="AH77" s="3">
        <v>0</v>
      </c>
      <c r="AI77"/>
      <c r="AJ77"/>
      <c r="AK77"/>
      <c r="AL77"/>
      <c r="AO77" s="17"/>
      <c r="AP77" s="3">
        <f t="shared" ref="AP77:AP102" si="116">-$C$10*$C$9/$C$6*H44</f>
        <v>-358800000</v>
      </c>
      <c r="AQ77" s="3">
        <f t="shared" ref="AQ77:AQ102" si="117">-$C$10*$C$9/$C$6*I44</f>
        <v>-139821686.14290324</v>
      </c>
      <c r="AR77" s="3">
        <f t="shared" ref="AR77:AR102" si="118">-$C$10*$C$9/$C$6*J44</f>
        <v>-86293089.448839441</v>
      </c>
      <c r="AS77" s="3">
        <f t="shared" ref="AS77:AS102" si="119">-$C$10*$C$9/$C$6*K44</f>
        <v>-59390961.724493064</v>
      </c>
      <c r="AT77" s="3">
        <f t="shared" ref="AT77:AT102" si="120">-$C$10*$C$9/$C$6*L44</f>
        <v>-44339966.995252155</v>
      </c>
      <c r="AU77" s="3">
        <f t="shared" ref="AU77:AU102" si="121">-$C$10*$C$9/$C$6*M44</f>
        <v>-35045678.126202427</v>
      </c>
      <c r="AV77" s="3">
        <f t="shared" ref="AV77:AV102" si="122">-$C$10*$C$9/$C$6*N44</f>
        <v>-28807287.220986284</v>
      </c>
      <c r="AW77" s="3">
        <f t="shared" ref="AW77:AW102" si="123">-$C$10*$C$9/$C$6*O44</f>
        <v>-24331408.416417263</v>
      </c>
      <c r="AX77" s="3">
        <f t="shared" ref="AX77:AX102" si="124">-$C$10*$C$9/$C$6*P44</f>
        <v>-20948082.35263342</v>
      </c>
      <c r="AY77" s="3">
        <f t="shared" ref="AY77:AY102" si="125">-$C$10*$C$9/$C$6*Q44</f>
        <v>-18283411.513728011</v>
      </c>
      <c r="AZ77" s="3">
        <f t="shared" ref="AZ77:AZ102" si="126">-$C$10*$C$9/$C$6*R44</f>
        <v>-16114226.35470031</v>
      </c>
      <c r="BA77" s="3">
        <f t="shared" ref="BA77:BA102" si="127">-$C$10*$C$9/$C$6*S44</f>
        <v>-14299326.539666478</v>
      </c>
      <c r="BB77" s="3">
        <f t="shared" ref="BB77:BB102" si="128">-$C$10*$C$9/$C$6*T44</f>
        <v>-12744843.785336073</v>
      </c>
      <c r="BC77" s="3">
        <f t="shared" ref="BC77:BC102" si="129">-$C$10*$C$9/$C$6*U44</f>
        <v>-11385732.359685048</v>
      </c>
      <c r="BD77" s="3">
        <f t="shared" ref="BD77:BD102" si="130">-$C$10*$C$9/$C$6*V44</f>
        <v>-10175335.348191874</v>
      </c>
      <c r="BE77" s="3">
        <f t="shared" ref="BE77:BE102" si="131">-$C$10*$C$9/$C$6*W44</f>
        <v>-9079220.0945256166</v>
      </c>
      <c r="BF77" s="3">
        <f t="shared" ref="BF77:BF102" si="132">-$C$10*$C$9/$C$6*X44</f>
        <v>-8071383.9956220472</v>
      </c>
      <c r="BG77" s="3">
        <f t="shared" ref="BG77:BG102" si="133">-$C$10*$C$9/$C$6*Y44</f>
        <v>-7131834.0861941744</v>
      </c>
      <c r="BH77" s="3">
        <f t="shared" ref="BH77:BH102" si="134">-$C$10*$C$9/$C$6*Z44</f>
        <v>-6244992.1545905676</v>
      </c>
      <c r="BI77" s="3">
        <f t="shared" ref="BI77:BI102" si="135">-$C$10*$C$9/$C$6*AA44</f>
        <v>-5398610.4743793942</v>
      </c>
      <c r="BJ77" s="3">
        <f t="shared" ref="BJ77:BJ102" si="136">-$C$10*$C$9/$C$6*AB44</f>
        <v>-4583010.0345480274</v>
      </c>
      <c r="BK77" s="3">
        <f t="shared" ref="BK77:BK102" si="137">-$C$10*$C$9/$C$6*AC44</f>
        <v>-3790524.8790535913</v>
      </c>
      <c r="BL77" s="3">
        <f t="shared" ref="BL77:BL102" si="138">-$C$10*$C$9/$C$6*AD44</f>
        <v>-3015078.3487637308</v>
      </c>
      <c r="BM77" s="3">
        <f t="shared" ref="BM77:BM102" si="139">-$C$10*$C$9/$C$6*AE44</f>
        <v>-2251842.8283928339</v>
      </c>
      <c r="BN77" s="3">
        <f t="shared" ref="BN77:BN102" si="140">-$C$10*$C$9/$C$6*AF44</f>
        <v>-1496951.0636827792</v>
      </c>
      <c r="BO77" s="3">
        <f t="shared" ref="BO77:BO102" si="141">-$C$10*$C$9/$C$6*AG44</f>
        <v>-747238.05239175993</v>
      </c>
      <c r="BP77" s="3">
        <f t="shared" ref="BP77:BP102" si="142">-$C$10*$C$9/$C$6*AH44</f>
        <v>0</v>
      </c>
      <c r="BW77" s="17"/>
      <c r="BX77" s="3">
        <v>1</v>
      </c>
      <c r="BY77" s="3">
        <f t="shared" ref="BY77:BY102" si="143">$C$19/($C$20-$C$21*BY78)</f>
        <v>0.17990274775391865</v>
      </c>
      <c r="BZ77" s="3">
        <f t="shared" ref="BZ77:BZ102" si="144">$C$19/($C$20-$C$21*BZ78)</f>
        <v>0.17990274775391865</v>
      </c>
      <c r="CA77" s="3">
        <f t="shared" ref="CA77:CA102" si="145">$C$19/($C$20-$C$21*CA78)</f>
        <v>0.17990274775391865</v>
      </c>
      <c r="CB77" s="3">
        <f t="shared" ref="CB77:CB102" si="146">$C$19/($C$20-$C$21*CB78)</f>
        <v>0.17990274775391865</v>
      </c>
      <c r="CC77" s="3">
        <f t="shared" ref="CC77:CC102" si="147">$C$19/($C$20-$C$21*CC78)</f>
        <v>0.17990274775391865</v>
      </c>
      <c r="CD77" s="3">
        <f t="shared" ref="CD77:CD102" si="148">$C$19/($C$20-$C$21*CD78)</f>
        <v>0.17990274775391865</v>
      </c>
      <c r="CE77" s="3">
        <f t="shared" ref="CE77:CE102" si="149">$C$19/($C$20-$C$21*CE78)</f>
        <v>0.17990274775391865</v>
      </c>
      <c r="CF77" s="3">
        <f t="shared" ref="CF77:CF102" si="150">$C$19/($C$20-$C$21*CF78)</f>
        <v>0.17990274775391865</v>
      </c>
      <c r="CG77" s="3">
        <f t="shared" ref="CG77:CG102" si="151">$C$19/($C$20-$C$21*CG78)</f>
        <v>0.17990274775391865</v>
      </c>
      <c r="CH77" s="3">
        <f t="shared" ref="CH77:CH102" si="152">$C$19/($C$20-$C$21*CH78)</f>
        <v>0.17990274775391865</v>
      </c>
      <c r="CI77" s="3">
        <f t="shared" ref="CI77:CI102" si="153">$C$19/($C$20-$C$21*CI78)</f>
        <v>0.17990274775391865</v>
      </c>
      <c r="CJ77" s="3">
        <f t="shared" ref="CJ77:CJ102" si="154">$C$19/($C$20-$C$21*CJ78)</f>
        <v>0.17990274775391865</v>
      </c>
      <c r="CK77" s="3">
        <f t="shared" ref="CK77:CK102" si="155">$C$19/($C$20-$C$21*CK78)</f>
        <v>0.17990274775391865</v>
      </c>
      <c r="CL77" s="3">
        <f t="shared" ref="CL77:CL102" si="156">$C$19/($C$20-$C$21*CL78)</f>
        <v>0.17990274775391865</v>
      </c>
      <c r="CM77" s="3">
        <f t="shared" ref="CM77:CM102" si="157">$C$19/($C$20-$C$21*CM78)</f>
        <v>0.17990274775391865</v>
      </c>
      <c r="CN77" s="3">
        <f t="shared" ref="CN77:CN102" si="158">$C$19/($C$20-$C$21*CN78)</f>
        <v>0.17990274775391865</v>
      </c>
      <c r="CO77" s="3">
        <f t="shared" ref="CO77:CO102" si="159">$C$19/($C$20-$C$21*CO78)</f>
        <v>0.17990274775391865</v>
      </c>
      <c r="CP77" s="3">
        <f t="shared" ref="CP77:CP102" si="160">$C$19/($C$20-$C$21*CP78)</f>
        <v>0.17990274775391865</v>
      </c>
      <c r="CQ77" s="3">
        <f t="shared" ref="CQ77:CQ102" si="161">$C$19/($C$20-$C$21*CQ78)</f>
        <v>0.17990274775391865</v>
      </c>
      <c r="CR77" s="3">
        <f t="shared" ref="CR77:CR102" si="162">$C$19/($C$20-$C$21*CR78)</f>
        <v>0.17990274775391865</v>
      </c>
      <c r="CS77" s="3">
        <f t="shared" ref="CS77:CS102" si="163">$C$19/($C$20-$C$21*CS78)</f>
        <v>0.17990274775391865</v>
      </c>
      <c r="CT77" s="3">
        <f t="shared" ref="CT77:CT102" si="164">$C$19/($C$20-$C$21*CT78)</f>
        <v>0.17990274775391865</v>
      </c>
      <c r="CU77" s="3">
        <f t="shared" ref="CU77:CU102" si="165">$C$19/($C$20-$C$21*CU78)</f>
        <v>0.17990274775391865</v>
      </c>
      <c r="CV77" s="3">
        <f t="shared" ref="CV77:CV102" si="166">$C$19/($C$20-$C$21*CV78)</f>
        <v>0.17990274775391865</v>
      </c>
      <c r="CW77" s="3">
        <f t="shared" ref="CW77:CW102" si="167">$C$19/($C$20-$C$21*CW78)</f>
        <v>0.17990274775391865</v>
      </c>
      <c r="CX77" s="3">
        <f t="shared" ref="CX77:CX102" si="168">$C$19/($C$20-$C$21*CX78)</f>
        <v>0.17990274775391865</v>
      </c>
      <c r="DE77" s="17"/>
      <c r="DF77" s="3">
        <v>100</v>
      </c>
      <c r="DG77" s="3">
        <f t="shared" ref="DG77:DG102" si="169">(DG78*$C$21-AQ77)/($C$20-$C$21*BY78)</f>
        <v>34.140812250037214</v>
      </c>
      <c r="DH77" s="3">
        <f t="shared" ref="DH77:DH102" si="170">(DH78*$C$21-AR77)/($C$20-$C$21*BZ78)</f>
        <v>22.065123876741612</v>
      </c>
      <c r="DI77" s="3">
        <f t="shared" ref="DI77:DI102" si="171">(DI78*$C$21-AS77)/($C$20-$C$21*CA78)</f>
        <v>15.668701866036805</v>
      </c>
      <c r="DJ77" s="3">
        <f t="shared" ref="DJ77:DJ102" si="172">(DJ78*$C$21-AT77)/($C$20-$C$21*CB78)</f>
        <v>11.928105480219875</v>
      </c>
      <c r="DK77" s="3">
        <f t="shared" ref="DK77:DK102" si="173">(DK78*$C$21-AU77)/($C$20-$C$21*CC78)</f>
        <v>9.5389520809398931</v>
      </c>
      <c r="DL77" s="3">
        <f t="shared" ref="DL77:DL102" si="174">(DL78*$C$21-AV77)/($C$20-$C$21*CD78)</f>
        <v>7.8965832624798349</v>
      </c>
      <c r="DM77" s="3">
        <f t="shared" ref="DM77:DM102" si="175">(DM78*$C$21-AW77)/($C$20-$C$21*CE78)</f>
        <v>6.6989729839448495</v>
      </c>
      <c r="DN77" s="3">
        <f t="shared" ref="DN77:DN102" si="176">(DN78*$C$21-AX77)/($C$20-$C$21*CF78)</f>
        <v>5.7838058601768632</v>
      </c>
      <c r="DO77" s="3">
        <f t="shared" ref="DO77:DO102" si="177">(DO78*$C$21-AY77)/($C$20-$C$21*CG78)</f>
        <v>5.0577101509568427</v>
      </c>
      <c r="DP77" s="3">
        <f t="shared" ref="DP77:DP102" si="178">(DP78*$C$21-AZ77)/($C$20-$C$21*CH78)</f>
        <v>4.4636140521961343</v>
      </c>
      <c r="DQ77" s="3">
        <f t="shared" ref="DQ77:DQ102" si="179">(DQ78*$C$21-BA77)/($C$20-$C$21*CI78)</f>
        <v>3.9647471071210965</v>
      </c>
      <c r="DR77" s="3">
        <f t="shared" ref="DR77:DR102" si="180">(DR78*$C$21-BB77)/($C$20-$C$21*CJ78)</f>
        <v>3.5363280549376648</v>
      </c>
      <c r="DS77" s="3">
        <f t="shared" ref="DS77:DS102" si="181">(DS78*$C$21-BC77)/($C$20-$C$21*CK78)</f>
        <v>3.1610063774355486</v>
      </c>
      <c r="DT77" s="3">
        <f t="shared" ref="DT77:DT102" si="182">(DT78*$C$21-BD77)/($C$20-$C$21*CL78)</f>
        <v>2.8262381286542788</v>
      </c>
      <c r="DU77" s="3">
        <f t="shared" ref="DU77:DU102" si="183">(DU78*$C$21-BE77)/($C$20-$C$21*CM78)</f>
        <v>2.5227093892720349</v>
      </c>
      <c r="DV77" s="3">
        <f t="shared" ref="DV77:DV102" si="184">(DV78*$C$21-BF77)/($C$20-$C$21*CN78)</f>
        <v>2.2433530941825057</v>
      </c>
      <c r="DW77" s="3">
        <f t="shared" ref="DW77:DW102" si="185">(DW78*$C$21-BG77)/($C$20-$C$21*CO78)</f>
        <v>1.9827153261264789</v>
      </c>
      <c r="DX77" s="3">
        <f t="shared" ref="DX77:DX102" si="186">(DX78*$C$21-BH77)/($C$20-$C$21*CP78)</f>
        <v>1.7365342978387528</v>
      </c>
      <c r="DY77" s="3">
        <f t="shared" ref="DY77:DY102" si="187">(DY78*$C$21-BI77)/($C$20-$C$21*CQ78)</f>
        <v>1.5014521963860703</v>
      </c>
      <c r="DZ77" s="3">
        <f t="shared" ref="DZ77:DZ102" si="188">(DZ78*$C$21-BJ77)/($C$20-$C$21*CR78)</f>
        <v>1.2748115655469827</v>
      </c>
      <c r="EA77" s="3">
        <f t="shared" ref="EA77:EA102" si="189">(EA78*$C$21-BK77)/($C$20-$C$21*CS78)</f>
        <v>1.0545059901618441</v>
      </c>
      <c r="EB77" s="3">
        <f t="shared" ref="EB77:EB102" si="190">(EB78*$C$21-BL77)/($C$20-$C$21*CT78)</f>
        <v>0.83886562080024063</v>
      </c>
      <c r="EC77" s="3">
        <f t="shared" ref="EC77:EC102" si="191">(EC78*$C$21-BM77)/($C$20-$C$21*CU78)</f>
        <v>0.62656474658867167</v>
      </c>
      <c r="ED77" s="3">
        <f t="shared" ref="ED77:ED102" si="192">(ED78*$C$21-BN77)/($C$20-$C$21*CV78)</f>
        <v>0.41654292729446757</v>
      </c>
      <c r="EE77" s="3">
        <f t="shared" ref="EE77:EE102" si="193">(EE78*$C$21-BO77)/($C$20-$C$21*CW78)</f>
        <v>0.20793408975819494</v>
      </c>
      <c r="EF77" s="3">
        <v>0</v>
      </c>
    </row>
    <row r="78" spans="7:136" x14ac:dyDescent="0.3">
      <c r="G78" s="16"/>
      <c r="H78" s="3">
        <f t="shared" si="113"/>
        <v>100</v>
      </c>
      <c r="I78" s="3">
        <f t="shared" ref="I78:I101" si="194">I77*BY78+DG78</f>
        <v>50.230677819197837</v>
      </c>
      <c r="J78" s="3">
        <f t="shared" ref="J78:J101" si="195">J77*BZ78+DH78</f>
        <v>36.708104412779171</v>
      </c>
      <c r="K78" s="3">
        <f t="shared" ref="K78:K101" si="196">K77*CA78+DI78</f>
        <v>28.032741862233198</v>
      </c>
      <c r="L78" s="3">
        <f t="shared" ref="L78:L101" si="197">L77*CB78+DJ78</f>
        <v>22.249626356502493</v>
      </c>
      <c r="M78" s="3">
        <f t="shared" ref="M78:M101" si="198">M77*CC78+DK78</f>
        <v>18.223603121964722</v>
      </c>
      <c r="N78" s="3">
        <f t="shared" ref="N78:N101" si="199">N77*CD78+DL78</f>
        <v>15.298928494449001</v>
      </c>
      <c r="O78" s="3">
        <f t="shared" ref="O78:O101" si="200">O77*CE78+DM78</f>
        <v>13.090061206481481</v>
      </c>
      <c r="P78" s="3">
        <f t="shared" ref="P78:P101" si="201">P77*CF78+DN78</f>
        <v>11.363614537026923</v>
      </c>
      <c r="Q78" s="3">
        <f t="shared" ref="Q78:Q101" si="202">Q77*CG78+DO78</f>
        <v>9.9733551249174965</v>
      </c>
      <c r="R78" s="3">
        <f t="shared" ref="R78:R101" si="203">R77*CH78+DP78</f>
        <v>8.824306700107897</v>
      </c>
      <c r="S78" s="3">
        <f t="shared" ref="S78:S101" si="204">S77*CI78+DQ78</f>
        <v>7.8525849337611708</v>
      </c>
      <c r="T78" s="3">
        <f t="shared" ref="T78:T101" si="205">T77*CJ78+DR78</f>
        <v>7.0137881312054269</v>
      </c>
      <c r="U78" s="3">
        <f t="shared" ref="U78:U101" si="206">U77*CK78+DS78</f>
        <v>6.2761244133075502</v>
      </c>
      <c r="V78" s="3">
        <f t="shared" ref="V78:V101" si="207">V77*CL78+DT78</f>
        <v>5.6162242847203663</v>
      </c>
      <c r="W78" s="3">
        <f t="shared" ref="W78:W101" si="208">W77*CM78+DU78</f>
        <v>5.0165167555028827</v>
      </c>
      <c r="X78" s="3">
        <f t="shared" ref="X78:X101" si="209">X77*CN78+DV78</f>
        <v>4.4635407575788975</v>
      </c>
      <c r="Y78" s="3">
        <f t="shared" ref="Y78:Y101" si="210">Y77*CO78+DW78</f>
        <v>3.9468305598907021</v>
      </c>
      <c r="Z78" s="3">
        <f t="shared" ref="Z78:Z101" si="211">Z77*CP78+DX78</f>
        <v>3.4581615386984099</v>
      </c>
      <c r="AA78" s="3">
        <f t="shared" ref="AA78:AA101" si="212">AA77*CQ78+DY78</f>
        <v>2.9910263442329068</v>
      </c>
      <c r="AB78" s="3">
        <f t="shared" ref="AB78:AB101" si="213">AB77*CR78+DZ78</f>
        <v>2.5402601631675226</v>
      </c>
      <c r="AC78" s="3">
        <f t="shared" ref="AC78:AC101" si="214">AC77*CS78+EA78</f>
        <v>2.1017628383815161</v>
      </c>
      <c r="AD78" s="3">
        <f t="shared" ref="AD78:AD101" si="215">AD77*CT78+EB78</f>
        <v>1.6722834848738302</v>
      </c>
      <c r="AE78" s="3">
        <f t="shared" ref="AE78:AE101" si="216">AE77*CU78+EC78</f>
        <v>1.2492446214478983</v>
      </c>
      <c r="AF78" s="3">
        <f t="shared" ref="AF78:AF101" si="217">AF77*CV78+ED78</f>
        <v>0.83059037884197662</v>
      </c>
      <c r="AG78" s="3">
        <f t="shared" ref="AG78:AG101" si="218">AG77*CW78+EE78</f>
        <v>0.41464855505680825</v>
      </c>
      <c r="AH78" s="3">
        <v>0</v>
      </c>
      <c r="AI78"/>
      <c r="AJ78"/>
      <c r="AK78"/>
      <c r="AL78"/>
      <c r="AO78" s="17"/>
      <c r="AP78" s="3">
        <f t="shared" si="116"/>
        <v>-358800000</v>
      </c>
      <c r="AQ78" s="3">
        <f t="shared" si="117"/>
        <v>-187642203.61715659</v>
      </c>
      <c r="AR78" s="3">
        <f t="shared" si="118"/>
        <v>-136550659.46699002</v>
      </c>
      <c r="AS78" s="3">
        <f t="shared" si="119"/>
        <v>-103552371.84136158</v>
      </c>
      <c r="AT78" s="3">
        <f t="shared" si="120"/>
        <v>-81648755.853117749</v>
      </c>
      <c r="AU78" s="3">
        <f t="shared" si="121"/>
        <v>-66522956.713958599</v>
      </c>
      <c r="AV78" s="3">
        <f t="shared" si="122"/>
        <v>-55628015.622985274</v>
      </c>
      <c r="AW78" s="3">
        <f t="shared" si="123"/>
        <v>-47461091.623177342</v>
      </c>
      <c r="AX78" s="3">
        <f t="shared" si="124"/>
        <v>-41116687.068722159</v>
      </c>
      <c r="AY78" s="3">
        <f t="shared" si="125"/>
        <v>-36032073.330301635</v>
      </c>
      <c r="AZ78" s="3">
        <f t="shared" si="126"/>
        <v>-31845099.904791199</v>
      </c>
      <c r="BA78" s="3">
        <f t="shared" si="127"/>
        <v>-28314309.482832108</v>
      </c>
      <c r="BB78" s="3">
        <f t="shared" si="128"/>
        <v>-25273199.103425831</v>
      </c>
      <c r="BC78" s="3">
        <f t="shared" si="129"/>
        <v>-22603356.792723481</v>
      </c>
      <c r="BD78" s="3">
        <f t="shared" si="130"/>
        <v>-20218235.08709098</v>
      </c>
      <c r="BE78" s="3">
        <f t="shared" si="131"/>
        <v>-18053067.811982699</v>
      </c>
      <c r="BF78" s="3">
        <f t="shared" si="132"/>
        <v>-16058430.02858744</v>
      </c>
      <c r="BG78" s="3">
        <f t="shared" si="133"/>
        <v>-14196015.325272609</v>
      </c>
      <c r="BH78" s="3">
        <f t="shared" si="134"/>
        <v>-12435794.791096225</v>
      </c>
      <c r="BI78" s="3">
        <f t="shared" si="135"/>
        <v>-10754053.801394714</v>
      </c>
      <c r="BJ78" s="3">
        <f t="shared" si="136"/>
        <v>-9131994.0501039494</v>
      </c>
      <c r="BK78" s="3">
        <f t="shared" si="137"/>
        <v>-7554701.5817215992</v>
      </c>
      <c r="BL78" s="3">
        <f t="shared" si="138"/>
        <v>-6010350.7165826596</v>
      </c>
      <c r="BM78" s="3">
        <f t="shared" si="139"/>
        <v>-4489557.405652862</v>
      </c>
      <c r="BN78" s="3">
        <f t="shared" si="140"/>
        <v>-2984824.1936712689</v>
      </c>
      <c r="BO78" s="3">
        <f t="shared" si="141"/>
        <v>-1490038.5383740542</v>
      </c>
      <c r="BP78" s="3">
        <f t="shared" si="142"/>
        <v>0</v>
      </c>
      <c r="BW78" s="17"/>
      <c r="BX78" s="3">
        <v>1</v>
      </c>
      <c r="BY78" s="3">
        <f t="shared" si="143"/>
        <v>0.17990274775391865</v>
      </c>
      <c r="BZ78" s="3">
        <f t="shared" si="144"/>
        <v>0.17990274775391865</v>
      </c>
      <c r="CA78" s="3">
        <f t="shared" si="145"/>
        <v>0.17990274775391865</v>
      </c>
      <c r="CB78" s="3">
        <f t="shared" si="146"/>
        <v>0.17990274775391865</v>
      </c>
      <c r="CC78" s="3">
        <f t="shared" si="147"/>
        <v>0.17990274775391865</v>
      </c>
      <c r="CD78" s="3">
        <f t="shared" si="148"/>
        <v>0.17990274775391865</v>
      </c>
      <c r="CE78" s="3">
        <f t="shared" si="149"/>
        <v>0.17990274775391865</v>
      </c>
      <c r="CF78" s="3">
        <f t="shared" si="150"/>
        <v>0.17990274775391865</v>
      </c>
      <c r="CG78" s="3">
        <f t="shared" si="151"/>
        <v>0.17990274775391865</v>
      </c>
      <c r="CH78" s="3">
        <f t="shared" si="152"/>
        <v>0.17990274775391865</v>
      </c>
      <c r="CI78" s="3">
        <f t="shared" si="153"/>
        <v>0.17990274775391865</v>
      </c>
      <c r="CJ78" s="3">
        <f t="shared" si="154"/>
        <v>0.17990274775391865</v>
      </c>
      <c r="CK78" s="3">
        <f t="shared" si="155"/>
        <v>0.17990274775391865</v>
      </c>
      <c r="CL78" s="3">
        <f t="shared" si="156"/>
        <v>0.17990274775391865</v>
      </c>
      <c r="CM78" s="3">
        <f t="shared" si="157"/>
        <v>0.17990274775391865</v>
      </c>
      <c r="CN78" s="3">
        <f t="shared" si="158"/>
        <v>0.17990274775391865</v>
      </c>
      <c r="CO78" s="3">
        <f t="shared" si="159"/>
        <v>0.17990274775391865</v>
      </c>
      <c r="CP78" s="3">
        <f t="shared" si="160"/>
        <v>0.17990274775391865</v>
      </c>
      <c r="CQ78" s="3">
        <f t="shared" si="161"/>
        <v>0.17990274775391865</v>
      </c>
      <c r="CR78" s="3">
        <f t="shared" si="162"/>
        <v>0.17990274775391865</v>
      </c>
      <c r="CS78" s="3">
        <f t="shared" si="163"/>
        <v>0.17990274775391865</v>
      </c>
      <c r="CT78" s="3">
        <f t="shared" si="164"/>
        <v>0.17990274775391865</v>
      </c>
      <c r="CU78" s="3">
        <f t="shared" si="165"/>
        <v>0.17990274775391865</v>
      </c>
      <c r="CV78" s="3">
        <f t="shared" si="166"/>
        <v>0.17990274775391865</v>
      </c>
      <c r="CW78" s="3">
        <f t="shared" si="167"/>
        <v>0.17990274775391865</v>
      </c>
      <c r="CX78" s="3">
        <f t="shared" si="168"/>
        <v>0.17990274775391865</v>
      </c>
      <c r="DE78" s="17"/>
      <c r="DF78" s="3">
        <v>100</v>
      </c>
      <c r="DG78" s="3">
        <f t="shared" si="169"/>
        <v>44.088651884865499</v>
      </c>
      <c r="DH78" s="3">
        <f t="shared" si="170"/>
        <v>32.738527997822757</v>
      </c>
      <c r="DI78" s="3">
        <f t="shared" si="171"/>
        <v>25.213899342796225</v>
      </c>
      <c r="DJ78" s="3">
        <f t="shared" si="172"/>
        <v>20.103727405112362</v>
      </c>
      <c r="DK78" s="3">
        <f t="shared" si="173"/>
        <v>16.507519431910676</v>
      </c>
      <c r="DL78" s="3">
        <f t="shared" si="174"/>
        <v>13.878311467661275</v>
      </c>
      <c r="DM78" s="3">
        <f t="shared" si="175"/>
        <v>11.884897559540535</v>
      </c>
      <c r="DN78" s="3">
        <f t="shared" si="176"/>
        <v>10.323091970305889</v>
      </c>
      <c r="DO78" s="3">
        <f t="shared" si="177"/>
        <v>9.0634591714174739</v>
      </c>
      <c r="DP78" s="3">
        <f t="shared" si="178"/>
        <v>8.0212902672048099</v>
      </c>
      <c r="DQ78" s="3">
        <f t="shared" si="179"/>
        <v>7.1393160350406859</v>
      </c>
      <c r="DR78" s="3">
        <f t="shared" si="180"/>
        <v>6.3775929971628704</v>
      </c>
      <c r="DS78" s="3">
        <f t="shared" si="181"/>
        <v>5.7074506803392344</v>
      </c>
      <c r="DT78" s="3">
        <f t="shared" si="182"/>
        <v>5.1077762795685686</v>
      </c>
      <c r="DU78" s="3">
        <f t="shared" si="183"/>
        <v>4.5626744045882335</v>
      </c>
      <c r="DV78" s="3">
        <f t="shared" si="184"/>
        <v>4.0599553717532091</v>
      </c>
      <c r="DW78" s="3">
        <f t="shared" si="185"/>
        <v>3.5901346247067414</v>
      </c>
      <c r="DX78" s="3">
        <f t="shared" si="186"/>
        <v>3.1457542469482966</v>
      </c>
      <c r="DY78" s="3">
        <f t="shared" si="187"/>
        <v>2.7209109684818964</v>
      </c>
      <c r="DZ78" s="3">
        <f t="shared" si="188"/>
        <v>2.3109180596571455</v>
      </c>
      <c r="EA78" s="3">
        <f t="shared" si="189"/>
        <v>1.9120543132284338</v>
      </c>
      <c r="EB78" s="3">
        <f t="shared" si="190"/>
        <v>1.5213692546955702</v>
      </c>
      <c r="EC78" s="3">
        <f t="shared" si="191"/>
        <v>1.1365239018908586</v>
      </c>
      <c r="ED78" s="3">
        <f t="shared" si="192"/>
        <v>0.75565316166424112</v>
      </c>
      <c r="EE78" s="3">
        <f t="shared" si="193"/>
        <v>0.37724064095759902</v>
      </c>
      <c r="EF78" s="3">
        <v>0</v>
      </c>
    </row>
    <row r="79" spans="7:136" x14ac:dyDescent="0.3">
      <c r="G79" s="16"/>
      <c r="H79" s="3">
        <f t="shared" si="113"/>
        <v>100</v>
      </c>
      <c r="I79" s="3">
        <f t="shared" si="194"/>
        <v>58.595085969374004</v>
      </c>
      <c r="J79" s="3">
        <f t="shared" si="195"/>
        <v>46.306057324054628</v>
      </c>
      <c r="K79" s="3">
        <f t="shared" si="196"/>
        <v>37.301304405211482</v>
      </c>
      <c r="L79" s="3">
        <f t="shared" si="197"/>
        <v>30.677851434419647</v>
      </c>
      <c r="M79" s="3">
        <f t="shared" si="198"/>
        <v>25.723919641504061</v>
      </c>
      <c r="N79" s="3">
        <f t="shared" si="199"/>
        <v>21.93497227314981</v>
      </c>
      <c r="O79" s="3">
        <f t="shared" si="200"/>
        <v>18.966483707895591</v>
      </c>
      <c r="P79" s="3">
        <f t="shared" si="201"/>
        <v>16.584957984915906</v>
      </c>
      <c r="Q79" s="3">
        <f t="shared" si="202"/>
        <v>14.630938785398474</v>
      </c>
      <c r="R79" s="3">
        <f t="shared" si="203"/>
        <v>12.993817399870327</v>
      </c>
      <c r="S79" s="3">
        <f t="shared" si="204"/>
        <v>11.595349259240214</v>
      </c>
      <c r="T79" s="3">
        <f t="shared" si="205"/>
        <v>10.379003412238802</v>
      </c>
      <c r="U79" s="3">
        <f t="shared" si="206"/>
        <v>9.3030714404343069</v>
      </c>
      <c r="V79" s="3">
        <f t="shared" si="207"/>
        <v>8.3361691411381589</v>
      </c>
      <c r="W79" s="3">
        <f t="shared" si="208"/>
        <v>7.454262105367552</v>
      </c>
      <c r="X79" s="3">
        <f t="shared" si="209"/>
        <v>6.6386691333248811</v>
      </c>
      <c r="Y79" s="3">
        <f t="shared" si="210"/>
        <v>5.8746997248722321</v>
      </c>
      <c r="Z79" s="3">
        <f t="shared" si="211"/>
        <v>5.1507071432067324</v>
      </c>
      <c r="AA79" s="3">
        <f t="shared" si="212"/>
        <v>4.4574161141372359</v>
      </c>
      <c r="AB79" s="3">
        <f t="shared" si="213"/>
        <v>3.7874326177809978</v>
      </c>
      <c r="AC79" s="3">
        <f t="shared" si="214"/>
        <v>3.1348738424243665</v>
      </c>
      <c r="AD79" s="3">
        <f t="shared" si="215"/>
        <v>2.4950761444029914</v>
      </c>
      <c r="AE79" s="3">
        <f t="shared" si="216"/>
        <v>1.8643520237611775</v>
      </c>
      <c r="AF79" s="3">
        <f t="shared" si="217"/>
        <v>1.2397762524979652</v>
      </c>
      <c r="AG79" s="3">
        <f t="shared" si="218"/>
        <v>0.61898790652408231</v>
      </c>
      <c r="AH79" s="3">
        <v>0</v>
      </c>
      <c r="AI79"/>
      <c r="AJ79"/>
      <c r="AK79"/>
      <c r="AL79"/>
      <c r="AO79" s="17"/>
      <c r="AP79" s="3">
        <f t="shared" si="116"/>
        <v>-358800000</v>
      </c>
      <c r="AQ79" s="3">
        <f t="shared" si="117"/>
        <v>-213675058.94232464</v>
      </c>
      <c r="AR79" s="3">
        <f t="shared" si="118"/>
        <v>-169203607.31252086</v>
      </c>
      <c r="AS79" s="3">
        <f t="shared" si="119"/>
        <v>-136150098.71210036</v>
      </c>
      <c r="AT79" s="3">
        <f t="shared" si="120"/>
        <v>-111726082.70284626</v>
      </c>
      <c r="AU79" s="3">
        <f t="shared" si="121"/>
        <v>-93462584.712178886</v>
      </c>
      <c r="AV79" s="3">
        <f t="shared" si="122"/>
        <v>-79527528.492441371</v>
      </c>
      <c r="AW79" s="3">
        <f t="shared" si="123"/>
        <v>-68644312.137460962</v>
      </c>
      <c r="AX79" s="3">
        <f t="shared" si="124"/>
        <v>-59940672.429995716</v>
      </c>
      <c r="AY79" s="3">
        <f t="shared" si="125"/>
        <v>-52819839.653659277</v>
      </c>
      <c r="AZ79" s="3">
        <f t="shared" si="126"/>
        <v>-46868468.602396503</v>
      </c>
      <c r="BA79" s="3">
        <f t="shared" si="127"/>
        <v>-41795064.571645461</v>
      </c>
      <c r="BB79" s="3">
        <f t="shared" si="128"/>
        <v>-37389814.365856163</v>
      </c>
      <c r="BC79" s="3">
        <f t="shared" si="129"/>
        <v>-33498513.509419616</v>
      </c>
      <c r="BD79" s="3">
        <f t="shared" si="130"/>
        <v>-30005551.507210493</v>
      </c>
      <c r="BE79" s="3">
        <f t="shared" si="131"/>
        <v>-26822684.679074582</v>
      </c>
      <c r="BF79" s="3">
        <f t="shared" si="132"/>
        <v>-23881521.936345726</v>
      </c>
      <c r="BG79" s="3">
        <f t="shared" si="133"/>
        <v>-21128413.376420643</v>
      </c>
      <c r="BH79" s="3">
        <f t="shared" si="134"/>
        <v>-18520909.320666514</v>
      </c>
      <c r="BI79" s="3">
        <f t="shared" si="135"/>
        <v>-16025254.259553969</v>
      </c>
      <c r="BJ79" s="3">
        <f t="shared" si="136"/>
        <v>-13614565.3999223</v>
      </c>
      <c r="BK79" s="3">
        <f t="shared" si="137"/>
        <v>-11267462.46688862</v>
      </c>
      <c r="BL79" s="3">
        <f t="shared" si="138"/>
        <v>-8966990.7078037485</v>
      </c>
      <c r="BM79" s="3">
        <f t="shared" si="139"/>
        <v>-6699728.9217829676</v>
      </c>
      <c r="BN79" s="3">
        <f t="shared" si="140"/>
        <v>-4455008.6525942767</v>
      </c>
      <c r="BO79" s="3">
        <f t="shared" si="141"/>
        <v>-2224195.2902817256</v>
      </c>
      <c r="BP79" s="3">
        <f t="shared" si="142"/>
        <v>0</v>
      </c>
      <c r="BW79" s="17"/>
      <c r="BX79" s="3">
        <v>1</v>
      </c>
      <c r="BY79" s="3">
        <f t="shared" si="143"/>
        <v>0.17990274775391865</v>
      </c>
      <c r="BZ79" s="3">
        <f t="shared" si="144"/>
        <v>0.17990274775391865</v>
      </c>
      <c r="CA79" s="3">
        <f t="shared" si="145"/>
        <v>0.17990274775391865</v>
      </c>
      <c r="CB79" s="3">
        <f t="shared" si="146"/>
        <v>0.17990274775391865</v>
      </c>
      <c r="CC79" s="3">
        <f t="shared" si="147"/>
        <v>0.17990274775391865</v>
      </c>
      <c r="CD79" s="3">
        <f t="shared" si="148"/>
        <v>0.17990274775391865</v>
      </c>
      <c r="CE79" s="3">
        <f t="shared" si="149"/>
        <v>0.17990274775391865</v>
      </c>
      <c r="CF79" s="3">
        <f t="shared" si="150"/>
        <v>0.17990274775391865</v>
      </c>
      <c r="CG79" s="3">
        <f t="shared" si="151"/>
        <v>0.17990274775391865</v>
      </c>
      <c r="CH79" s="3">
        <f t="shared" si="152"/>
        <v>0.17990274775391865</v>
      </c>
      <c r="CI79" s="3">
        <f t="shared" si="153"/>
        <v>0.17990274775391865</v>
      </c>
      <c r="CJ79" s="3">
        <f t="shared" si="154"/>
        <v>0.17990274775391865</v>
      </c>
      <c r="CK79" s="3">
        <f t="shared" si="155"/>
        <v>0.17990274775391865</v>
      </c>
      <c r="CL79" s="3">
        <f t="shared" si="156"/>
        <v>0.17990274775391865</v>
      </c>
      <c r="CM79" s="3">
        <f t="shared" si="157"/>
        <v>0.17990274775391865</v>
      </c>
      <c r="CN79" s="3">
        <f t="shared" si="158"/>
        <v>0.17990274775391865</v>
      </c>
      <c r="CO79" s="3">
        <f t="shared" si="159"/>
        <v>0.17990274775391865</v>
      </c>
      <c r="CP79" s="3">
        <f t="shared" si="160"/>
        <v>0.17990274775391865</v>
      </c>
      <c r="CQ79" s="3">
        <f t="shared" si="161"/>
        <v>0.17990274775391865</v>
      </c>
      <c r="CR79" s="3">
        <f t="shared" si="162"/>
        <v>0.17990274775391865</v>
      </c>
      <c r="CS79" s="3">
        <f t="shared" si="163"/>
        <v>0.17990274775391865</v>
      </c>
      <c r="CT79" s="3">
        <f t="shared" si="164"/>
        <v>0.17990274775391865</v>
      </c>
      <c r="CU79" s="3">
        <f t="shared" si="165"/>
        <v>0.17990274775391865</v>
      </c>
      <c r="CV79" s="3">
        <f t="shared" si="166"/>
        <v>0.17990274775391865</v>
      </c>
      <c r="CW79" s="3">
        <f t="shared" si="167"/>
        <v>0.17990274775391865</v>
      </c>
      <c r="CX79" s="3">
        <f t="shared" si="168"/>
        <v>0.17990274775391865</v>
      </c>
      <c r="DE79" s="17"/>
      <c r="DF79" s="3">
        <v>100</v>
      </c>
      <c r="DG79" s="3">
        <f t="shared" si="169"/>
        <v>49.558449008158497</v>
      </c>
      <c r="DH79" s="3">
        <f t="shared" si="170"/>
        <v>39.702168475357908</v>
      </c>
      <c r="DI79" s="3">
        <f t="shared" si="171"/>
        <v>32.258137117119425</v>
      </c>
      <c r="DJ79" s="3">
        <f t="shared" si="172"/>
        <v>26.675082516386841</v>
      </c>
      <c r="DK79" s="3">
        <f t="shared" si="173"/>
        <v>22.445443365885716</v>
      </c>
      <c r="DL79" s="3">
        <f t="shared" si="174"/>
        <v>19.182652999307713</v>
      </c>
      <c r="DM79" s="3">
        <f t="shared" si="175"/>
        <v>16.611545728582598</v>
      </c>
      <c r="DN79" s="3">
        <f t="shared" si="176"/>
        <v>14.54061250528839</v>
      </c>
      <c r="DO79" s="3">
        <f t="shared" si="177"/>
        <v>12.836704794100189</v>
      </c>
      <c r="DP79" s="3">
        <f t="shared" si="178"/>
        <v>11.406300377497601</v>
      </c>
      <c r="DQ79" s="3">
        <f t="shared" si="179"/>
        <v>10.182647652685556</v>
      </c>
      <c r="DR79" s="3">
        <f t="shared" si="180"/>
        <v>9.1172036552711244</v>
      </c>
      <c r="DS79" s="3">
        <f t="shared" si="181"/>
        <v>8.1739794132348287</v>
      </c>
      <c r="DT79" s="3">
        <f t="shared" si="182"/>
        <v>7.3257949603146786</v>
      </c>
      <c r="DU79" s="3">
        <f t="shared" si="183"/>
        <v>6.5517769568990101</v>
      </c>
      <c r="DV79" s="3">
        <f t="shared" si="184"/>
        <v>5.8356658863248301</v>
      </c>
      <c r="DW79" s="3">
        <f t="shared" si="185"/>
        <v>5.1646540622287578</v>
      </c>
      <c r="DX79" s="3">
        <f t="shared" si="186"/>
        <v>4.528574380217969</v>
      </c>
      <c r="DY79" s="3">
        <f t="shared" si="187"/>
        <v>3.9193222562053776</v>
      </c>
      <c r="DZ79" s="3">
        <f t="shared" si="188"/>
        <v>3.3304328344173428</v>
      </c>
      <c r="EA79" s="3">
        <f t="shared" si="189"/>
        <v>2.7567609326724565</v>
      </c>
      <c r="EB79" s="3">
        <f t="shared" si="190"/>
        <v>2.1942277504506906</v>
      </c>
      <c r="EC79" s="3">
        <f t="shared" si="191"/>
        <v>1.6396094837458965</v>
      </c>
      <c r="ED79" s="3">
        <f t="shared" si="192"/>
        <v>1.0903507610863252</v>
      </c>
      <c r="EE79" s="3">
        <f t="shared" si="193"/>
        <v>0.54439149211717053</v>
      </c>
      <c r="EF79" s="3">
        <v>0</v>
      </c>
    </row>
    <row r="80" spans="7:136" x14ac:dyDescent="0.3">
      <c r="G80" s="16"/>
      <c r="H80" s="3">
        <f t="shared" si="113"/>
        <v>100</v>
      </c>
      <c r="I80" s="3">
        <f t="shared" si="194"/>
        <v>63.379520756788821</v>
      </c>
      <c r="J80" s="3">
        <f t="shared" si="195"/>
        <v>52.718322502646238</v>
      </c>
      <c r="K80" s="3">
        <f t="shared" si="196"/>
        <v>44.159852811293348</v>
      </c>
      <c r="L80" s="3">
        <f t="shared" si="197"/>
        <v>37.382766861603173</v>
      </c>
      <c r="M80" s="3">
        <f t="shared" si="198"/>
        <v>32.01021449760826</v>
      </c>
      <c r="N80" s="3">
        <f t="shared" si="199"/>
        <v>27.711578360999475</v>
      </c>
      <c r="O80" s="3">
        <f t="shared" si="200"/>
        <v>24.225488456852048</v>
      </c>
      <c r="P80" s="3">
        <f t="shared" si="201"/>
        <v>21.354265189049912</v>
      </c>
      <c r="Q80" s="3">
        <f t="shared" si="202"/>
        <v>18.950903014137584</v>
      </c>
      <c r="R80" s="3">
        <f t="shared" si="203"/>
        <v>16.906333071274084</v>
      </c>
      <c r="S80" s="3">
        <f t="shared" si="204"/>
        <v>15.139154673105963</v>
      </c>
      <c r="T80" s="3">
        <f t="shared" si="205"/>
        <v>13.587980464018122</v>
      </c>
      <c r="U80" s="3">
        <f t="shared" si="206"/>
        <v>12.205931155077835</v>
      </c>
      <c r="V80" s="3">
        <f t="shared" si="207"/>
        <v>10.956737782822884</v>
      </c>
      <c r="W80" s="3">
        <f t="shared" si="208"/>
        <v>9.8119949539937341</v>
      </c>
      <c r="X80" s="3">
        <f t="shared" si="209"/>
        <v>8.7492214354400417</v>
      </c>
      <c r="Y80" s="3">
        <f t="shared" si="210"/>
        <v>7.750481780902069</v>
      </c>
      <c r="Z80" s="3">
        <f t="shared" si="211"/>
        <v>6.8013960541454423</v>
      </c>
      <c r="AA80" s="3">
        <f t="shared" si="212"/>
        <v>5.8904168358759508</v>
      </c>
      <c r="AB80" s="3">
        <f t="shared" si="213"/>
        <v>5.0082887544982757</v>
      </c>
      <c r="AC80" s="3">
        <f t="shared" si="214"/>
        <v>4.1476305276883485</v>
      </c>
      <c r="AD80" s="3">
        <f t="shared" si="215"/>
        <v>3.3025966449850084</v>
      </c>
      <c r="AE80" s="3">
        <f t="shared" si="216"/>
        <v>2.4685880252157362</v>
      </c>
      <c r="AF80" s="3">
        <f t="shared" si="217"/>
        <v>1.6419900635200744</v>
      </c>
      <c r="AG80" s="3">
        <f t="shared" si="218"/>
        <v>0.81992358915242192</v>
      </c>
      <c r="AH80" s="3">
        <v>0</v>
      </c>
      <c r="AI80"/>
      <c r="AJ80"/>
      <c r="AK80"/>
      <c r="AL80"/>
      <c r="AO80" s="17"/>
      <c r="AP80" s="3">
        <f t="shared" si="116"/>
        <v>-358800000</v>
      </c>
      <c r="AQ80" s="3">
        <f t="shared" si="117"/>
        <v>-229138584.38695392</v>
      </c>
      <c r="AR80" s="3">
        <f t="shared" si="118"/>
        <v>-191067130.78044301</v>
      </c>
      <c r="AS80" s="3">
        <f t="shared" si="119"/>
        <v>-160134176.40841731</v>
      </c>
      <c r="AT80" s="3">
        <f t="shared" si="120"/>
        <v>-135490958.48132756</v>
      </c>
      <c r="AU80" s="3">
        <f t="shared" si="121"/>
        <v>-115908216.91914825</v>
      </c>
      <c r="AV80" s="3">
        <f t="shared" si="122"/>
        <v>-100235666.06455316</v>
      </c>
      <c r="AW80" s="3">
        <f t="shared" si="123"/>
        <v>-87536554.668711603</v>
      </c>
      <c r="AX80" s="3">
        <f t="shared" si="124"/>
        <v>-77091651.997921661</v>
      </c>
      <c r="AY80" s="3">
        <f t="shared" si="125"/>
        <v>-68362099.681663975</v>
      </c>
      <c r="AZ80" s="3">
        <f t="shared" si="126"/>
        <v>-60946847.375892535</v>
      </c>
      <c r="BA80" s="3">
        <f t="shared" si="127"/>
        <v>-54546400.194268897</v>
      </c>
      <c r="BB80" s="3">
        <f t="shared" si="128"/>
        <v>-48935086.012318552</v>
      </c>
      <c r="BC80" s="3">
        <f t="shared" si="129"/>
        <v>-43940843.450761795</v>
      </c>
      <c r="BD80" s="3">
        <f t="shared" si="130"/>
        <v>-39430813.731403701</v>
      </c>
      <c r="BE80" s="3">
        <f t="shared" si="131"/>
        <v>-35301154.654209934</v>
      </c>
      <c r="BF80" s="3">
        <f t="shared" si="132"/>
        <v>-31469840.500184983</v>
      </c>
      <c r="BG80" s="3">
        <f t="shared" si="133"/>
        <v>-27871545.209486444</v>
      </c>
      <c r="BH80" s="3">
        <f t="shared" si="134"/>
        <v>-24453969.080912221</v>
      </c>
      <c r="BI80" s="3">
        <f t="shared" si="135"/>
        <v>-21175160.18828883</v>
      </c>
      <c r="BJ80" s="3">
        <f t="shared" si="136"/>
        <v>-18001515.342719648</v>
      </c>
      <c r="BK80" s="3">
        <f t="shared" si="137"/>
        <v>-14906237.732989812</v>
      </c>
      <c r="BL80" s="3">
        <f t="shared" si="138"/>
        <v>-11868092.475382766</v>
      </c>
      <c r="BM80" s="3">
        <f t="shared" si="139"/>
        <v>-8870346.8762983903</v>
      </c>
      <c r="BN80" s="3">
        <f t="shared" si="140"/>
        <v>-5899815.9305256456</v>
      </c>
      <c r="BO80" s="3">
        <f t="shared" si="141"/>
        <v>-2945959.6945440024</v>
      </c>
      <c r="BP80" s="3">
        <f t="shared" si="142"/>
        <v>0</v>
      </c>
      <c r="BW80" s="17"/>
      <c r="BX80" s="3">
        <v>1</v>
      </c>
      <c r="BY80" s="3">
        <f t="shared" si="143"/>
        <v>0.17990274775391865</v>
      </c>
      <c r="BZ80" s="3">
        <f t="shared" si="144"/>
        <v>0.17990274775391865</v>
      </c>
      <c r="CA80" s="3">
        <f t="shared" si="145"/>
        <v>0.17990274775391865</v>
      </c>
      <c r="CB80" s="3">
        <f t="shared" si="146"/>
        <v>0.17990274775391865</v>
      </c>
      <c r="CC80" s="3">
        <f t="shared" si="147"/>
        <v>0.17990274775391865</v>
      </c>
      <c r="CD80" s="3">
        <f t="shared" si="148"/>
        <v>0.17990274775391865</v>
      </c>
      <c r="CE80" s="3">
        <f t="shared" si="149"/>
        <v>0.17990274775391865</v>
      </c>
      <c r="CF80" s="3">
        <f t="shared" si="150"/>
        <v>0.17990274775391865</v>
      </c>
      <c r="CG80" s="3">
        <f t="shared" si="151"/>
        <v>0.17990274775391865</v>
      </c>
      <c r="CH80" s="3">
        <f t="shared" si="152"/>
        <v>0.17990274775391865</v>
      </c>
      <c r="CI80" s="3">
        <f t="shared" si="153"/>
        <v>0.17990274775391865</v>
      </c>
      <c r="CJ80" s="3">
        <f t="shared" si="154"/>
        <v>0.17990274775391865</v>
      </c>
      <c r="CK80" s="3">
        <f t="shared" si="155"/>
        <v>0.17990274775391865</v>
      </c>
      <c r="CL80" s="3">
        <f t="shared" si="156"/>
        <v>0.17990274775391865</v>
      </c>
      <c r="CM80" s="3">
        <f t="shared" si="157"/>
        <v>0.17990274775391865</v>
      </c>
      <c r="CN80" s="3">
        <f t="shared" si="158"/>
        <v>0.17990274775391865</v>
      </c>
      <c r="CO80" s="3">
        <f t="shared" si="159"/>
        <v>0.17990274775391865</v>
      </c>
      <c r="CP80" s="3">
        <f t="shared" si="160"/>
        <v>0.17990274775391865</v>
      </c>
      <c r="CQ80" s="3">
        <f t="shared" si="161"/>
        <v>0.17990274775391865</v>
      </c>
      <c r="CR80" s="3">
        <f t="shared" si="162"/>
        <v>0.17990274775391865</v>
      </c>
      <c r="CS80" s="3">
        <f t="shared" si="163"/>
        <v>0.17990274775391865</v>
      </c>
      <c r="CT80" s="3">
        <f t="shared" si="164"/>
        <v>0.17990274775391865</v>
      </c>
      <c r="CU80" s="3">
        <f t="shared" si="165"/>
        <v>0.17990274775391865</v>
      </c>
      <c r="CV80" s="3">
        <f t="shared" si="166"/>
        <v>0.17990274775391865</v>
      </c>
      <c r="CW80" s="3">
        <f t="shared" si="167"/>
        <v>0.17990274775391865</v>
      </c>
      <c r="CX80" s="3">
        <f t="shared" si="168"/>
        <v>0.17990274775391865</v>
      </c>
      <c r="DE80" s="17"/>
      <c r="DF80" s="3">
        <v>100</v>
      </c>
      <c r="DG80" s="3">
        <f t="shared" si="169"/>
        <v>52.83810378602135</v>
      </c>
      <c r="DH80" s="3">
        <f t="shared" si="170"/>
        <v>44.38773555239834</v>
      </c>
      <c r="DI80" s="3">
        <f t="shared" si="171"/>
        <v>37.449245653990452</v>
      </c>
      <c r="DJ80" s="3">
        <f t="shared" si="172"/>
        <v>31.863737093364588</v>
      </c>
      <c r="DK80" s="3">
        <f t="shared" si="173"/>
        <v>27.382410671100683</v>
      </c>
      <c r="DL80" s="3">
        <f t="shared" si="174"/>
        <v>23.765416577153804</v>
      </c>
      <c r="DM80" s="3">
        <f t="shared" si="175"/>
        <v>20.813365922571702</v>
      </c>
      <c r="DN80" s="3">
        <f t="shared" si="176"/>
        <v>18.370585676180244</v>
      </c>
      <c r="DO80" s="3">
        <f t="shared" si="177"/>
        <v>16.318756924425017</v>
      </c>
      <c r="DP80" s="3">
        <f t="shared" si="178"/>
        <v>14.568709617224732</v>
      </c>
      <c r="DQ80" s="3">
        <f t="shared" si="179"/>
        <v>13.053119480202284</v>
      </c>
      <c r="DR80" s="3">
        <f t="shared" si="180"/>
        <v>11.720769231209063</v>
      </c>
      <c r="DS80" s="3">
        <f t="shared" si="181"/>
        <v>10.532283040392697</v>
      </c>
      <c r="DT80" s="3">
        <f t="shared" si="182"/>
        <v>9.4570380485907055</v>
      </c>
      <c r="DU80" s="3">
        <f t="shared" si="183"/>
        <v>8.4709527187602003</v>
      </c>
      <c r="DV80" s="3">
        <f t="shared" si="184"/>
        <v>7.5549066169257699</v>
      </c>
      <c r="DW80" s="3">
        <f t="shared" si="185"/>
        <v>6.6936071581683647</v>
      </c>
      <c r="DX80" s="3">
        <f t="shared" si="186"/>
        <v>5.8747696862068146</v>
      </c>
      <c r="DY80" s="3">
        <f t="shared" si="187"/>
        <v>5.0885154290600676</v>
      </c>
      <c r="DZ80" s="3">
        <f t="shared" si="188"/>
        <v>4.3269192196266575</v>
      </c>
      <c r="EA80" s="3">
        <f t="shared" si="189"/>
        <v>3.5836581095743201</v>
      </c>
      <c r="EB80" s="3">
        <f t="shared" si="190"/>
        <v>2.8537255907516572</v>
      </c>
      <c r="EC80" s="3">
        <f t="shared" si="191"/>
        <v>2.1331859733605212</v>
      </c>
      <c r="ED80" s="3">
        <f t="shared" si="192"/>
        <v>1.4189509090956343</v>
      </c>
      <c r="EE80" s="3">
        <f t="shared" si="193"/>
        <v>0.70856596394229376</v>
      </c>
      <c r="EF80" s="3">
        <v>0</v>
      </c>
    </row>
    <row r="81" spans="7:136" x14ac:dyDescent="0.3">
      <c r="G81" s="16"/>
      <c r="H81" s="3">
        <f t="shared" si="113"/>
        <v>100</v>
      </c>
      <c r="I81" s="3">
        <f t="shared" si="194"/>
        <v>66.35842458408986</v>
      </c>
      <c r="J81" s="3">
        <f t="shared" si="195"/>
        <v>57.136543933915853</v>
      </c>
      <c r="K81" s="3">
        <f t="shared" si="196"/>
        <v>49.258964810876151</v>
      </c>
      <c r="L81" s="3">
        <f t="shared" si="197"/>
        <v>42.668993460210388</v>
      </c>
      <c r="M81" s="3">
        <f t="shared" si="198"/>
        <v>37.196677202437506</v>
      </c>
      <c r="N81" s="3">
        <f t="shared" si="199"/>
        <v>32.647840284606147</v>
      </c>
      <c r="O81" s="3">
        <f t="shared" si="200"/>
        <v>28.843180253304748</v>
      </c>
      <c r="P81" s="3">
        <f t="shared" si="201"/>
        <v>25.631207735755869</v>
      </c>
      <c r="Q81" s="3">
        <f t="shared" si="202"/>
        <v>22.889248603540398</v>
      </c>
      <c r="R81" s="3">
        <f t="shared" si="203"/>
        <v>20.519892354601545</v>
      </c>
      <c r="S81" s="3">
        <f t="shared" si="204"/>
        <v>18.446322945212771</v>
      </c>
      <c r="T81" s="3">
        <f t="shared" si="205"/>
        <v>16.607937954424351</v>
      </c>
      <c r="U81" s="3">
        <f t="shared" si="206"/>
        <v>14.956707517859458</v>
      </c>
      <c r="V81" s="3">
        <f t="shared" si="207"/>
        <v>13.454317951424899</v>
      </c>
      <c r="W81" s="3">
        <f t="shared" si="208"/>
        <v>12.069997194159486</v>
      </c>
      <c r="X81" s="3">
        <f t="shared" si="209"/>
        <v>10.778884193229052</v>
      </c>
      <c r="Y81" s="3">
        <f t="shared" si="210"/>
        <v>9.5608130657922707</v>
      </c>
      <c r="Z81" s="3">
        <f t="shared" si="211"/>
        <v>8.3994047087205299</v>
      </c>
      <c r="AA81" s="3">
        <f t="shared" si="212"/>
        <v>7.2813811403977988</v>
      </c>
      <c r="AB81" s="3">
        <f t="shared" si="213"/>
        <v>6.1960371137783756</v>
      </c>
      <c r="AC81" s="3">
        <f t="shared" si="214"/>
        <v>5.1348187620754926</v>
      </c>
      <c r="AD81" s="3">
        <f t="shared" si="215"/>
        <v>4.0909708532168727</v>
      </c>
      <c r="AE81" s="3">
        <f t="shared" si="216"/>
        <v>3.0592236100537442</v>
      </c>
      <c r="AF81" s="3">
        <f t="shared" si="217"/>
        <v>2.0354979034608207</v>
      </c>
      <c r="AG81" s="3">
        <f t="shared" si="218"/>
        <v>1.0166145793460548</v>
      </c>
      <c r="AH81" s="3">
        <v>0</v>
      </c>
      <c r="AI81"/>
      <c r="AJ81"/>
      <c r="AK81"/>
      <c r="AL81"/>
      <c r="AO81" s="17"/>
      <c r="AP81" s="3">
        <f t="shared" si="116"/>
        <v>-358800000</v>
      </c>
      <c r="AQ81" s="3">
        <f t="shared" si="117"/>
        <v>-239044593.91235885</v>
      </c>
      <c r="AR81" s="3">
        <f t="shared" si="118"/>
        <v>-206226328.84127039</v>
      </c>
      <c r="AS81" s="3">
        <f t="shared" si="119"/>
        <v>-177950793.47351304</v>
      </c>
      <c r="AT81" s="3">
        <f t="shared" si="120"/>
        <v>-154169132.40402877</v>
      </c>
      <c r="AU81" s="3">
        <f t="shared" si="121"/>
        <v>-134361619.09848079</v>
      </c>
      <c r="AV81" s="3">
        <f t="shared" si="122"/>
        <v>-117874472.87191027</v>
      </c>
      <c r="AW81" s="3">
        <f t="shared" si="123"/>
        <v>-104080430.47825593</v>
      </c>
      <c r="AX81" s="3">
        <f t="shared" si="124"/>
        <v>-92438938.318222851</v>
      </c>
      <c r="AY81" s="3">
        <f t="shared" si="125"/>
        <v>-82507421.021889374</v>
      </c>
      <c r="AZ81" s="3">
        <f t="shared" si="126"/>
        <v>-73932309.661953345</v>
      </c>
      <c r="BA81" s="3">
        <f t="shared" si="127"/>
        <v>-66433927.802455112</v>
      </c>
      <c r="BB81" s="3">
        <f t="shared" si="128"/>
        <v>-59791361.910947956</v>
      </c>
      <c r="BC81" s="3">
        <f t="shared" si="129"/>
        <v>-53829516.840174295</v>
      </c>
      <c r="BD81" s="3">
        <f t="shared" si="130"/>
        <v>-48408803.132621907</v>
      </c>
      <c r="BE81" s="3">
        <f t="shared" si="131"/>
        <v>-43417216.576761566</v>
      </c>
      <c r="BF81" s="3">
        <f t="shared" si="132"/>
        <v>-38764368.359724119</v>
      </c>
      <c r="BG81" s="3">
        <f t="shared" si="133"/>
        <v>-34377020.390227288</v>
      </c>
      <c r="BH81" s="3">
        <f t="shared" si="134"/>
        <v>-30195743.95153987</v>
      </c>
      <c r="BI81" s="3">
        <f t="shared" si="135"/>
        <v>-26172395.595142443</v>
      </c>
      <c r="BJ81" s="3">
        <f t="shared" si="136"/>
        <v>-22268171.965597574</v>
      </c>
      <c r="BK81" s="3">
        <f t="shared" si="137"/>
        <v>-18452060.16778649</v>
      </c>
      <c r="BL81" s="3">
        <f t="shared" si="138"/>
        <v>-14699543.481341308</v>
      </c>
      <c r="BM81" s="3">
        <f t="shared" si="139"/>
        <v>-10991456.691435622</v>
      </c>
      <c r="BN81" s="3">
        <f t="shared" si="140"/>
        <v>-7312914.0512469355</v>
      </c>
      <c r="BO81" s="3">
        <f t="shared" si="141"/>
        <v>-3652258.0857783044</v>
      </c>
      <c r="BP81" s="3">
        <f t="shared" si="142"/>
        <v>0</v>
      </c>
      <c r="BW81" s="17"/>
      <c r="BX81" s="3">
        <v>1</v>
      </c>
      <c r="BY81" s="3">
        <f t="shared" si="143"/>
        <v>0.17990274775391865</v>
      </c>
      <c r="BZ81" s="3">
        <f t="shared" si="144"/>
        <v>0.17990274775391865</v>
      </c>
      <c r="CA81" s="3">
        <f t="shared" si="145"/>
        <v>0.17990274775391865</v>
      </c>
      <c r="CB81" s="3">
        <f t="shared" si="146"/>
        <v>0.17990274775391865</v>
      </c>
      <c r="CC81" s="3">
        <f t="shared" si="147"/>
        <v>0.17990274775391865</v>
      </c>
      <c r="CD81" s="3">
        <f t="shared" si="148"/>
        <v>0.17990274775391865</v>
      </c>
      <c r="CE81" s="3">
        <f t="shared" si="149"/>
        <v>0.17990274775391865</v>
      </c>
      <c r="CF81" s="3">
        <f t="shared" si="150"/>
        <v>0.17990274775391865</v>
      </c>
      <c r="CG81" s="3">
        <f t="shared" si="151"/>
        <v>0.17990274775391865</v>
      </c>
      <c r="CH81" s="3">
        <f t="shared" si="152"/>
        <v>0.17990274775391865</v>
      </c>
      <c r="CI81" s="3">
        <f t="shared" si="153"/>
        <v>0.17990274775391865</v>
      </c>
      <c r="CJ81" s="3">
        <f t="shared" si="154"/>
        <v>0.17990274775391865</v>
      </c>
      <c r="CK81" s="3">
        <f t="shared" si="155"/>
        <v>0.17990274775391865</v>
      </c>
      <c r="CL81" s="3">
        <f t="shared" si="156"/>
        <v>0.17990274775391865</v>
      </c>
      <c r="CM81" s="3">
        <f t="shared" si="157"/>
        <v>0.17990274775391865</v>
      </c>
      <c r="CN81" s="3">
        <f t="shared" si="158"/>
        <v>0.17990274775391865</v>
      </c>
      <c r="CO81" s="3">
        <f t="shared" si="159"/>
        <v>0.17990274775391865</v>
      </c>
      <c r="CP81" s="3">
        <f t="shared" si="160"/>
        <v>0.17990274775391865</v>
      </c>
      <c r="CQ81" s="3">
        <f t="shared" si="161"/>
        <v>0.17990274775391865</v>
      </c>
      <c r="CR81" s="3">
        <f t="shared" si="162"/>
        <v>0.17990274775391865</v>
      </c>
      <c r="CS81" s="3">
        <f t="shared" si="163"/>
        <v>0.17990274775391865</v>
      </c>
      <c r="CT81" s="3">
        <f t="shared" si="164"/>
        <v>0.17990274775391865</v>
      </c>
      <c r="CU81" s="3">
        <f t="shared" si="165"/>
        <v>0.17990274775391865</v>
      </c>
      <c r="CV81" s="3">
        <f t="shared" si="166"/>
        <v>0.17990274775391865</v>
      </c>
      <c r="CW81" s="3">
        <f t="shared" si="167"/>
        <v>0.17990274775391865</v>
      </c>
      <c r="CX81" s="3">
        <f t="shared" si="168"/>
        <v>0.17990274775391865</v>
      </c>
      <c r="DE81" s="17"/>
      <c r="DF81" s="3">
        <v>100</v>
      </c>
      <c r="DG81" s="3">
        <f t="shared" si="169"/>
        <v>54.956274648617025</v>
      </c>
      <c r="DH81" s="3">
        <f t="shared" si="170"/>
        <v>47.652372858712553</v>
      </c>
      <c r="DI81" s="3">
        <f t="shared" si="171"/>
        <v>41.314485949715866</v>
      </c>
      <c r="DJ81" s="3">
        <f t="shared" si="172"/>
        <v>35.943730983163846</v>
      </c>
      <c r="DK81" s="3">
        <f t="shared" si="173"/>
        <v>31.43795165812546</v>
      </c>
      <c r="DL81" s="3">
        <f t="shared" si="174"/>
        <v>27.662451192864307</v>
      </c>
      <c r="DM81" s="3">
        <f t="shared" si="175"/>
        <v>24.484948314236227</v>
      </c>
      <c r="DN81" s="3">
        <f t="shared" si="176"/>
        <v>21.789516751979935</v>
      </c>
      <c r="DO81" s="3">
        <f t="shared" si="177"/>
        <v>19.479929078879028</v>
      </c>
      <c r="DP81" s="3">
        <f t="shared" si="178"/>
        <v>17.478396580636389</v>
      </c>
      <c r="DQ81" s="3">
        <f t="shared" si="179"/>
        <v>15.722747420849428</v>
      </c>
      <c r="DR81" s="3">
        <f t="shared" si="180"/>
        <v>14.163422932520923</v>
      </c>
      <c r="DS81" s="3">
        <f t="shared" si="181"/>
        <v>12.760826964165794</v>
      </c>
      <c r="DT81" s="3">
        <f t="shared" si="182"/>
        <v>11.483170717875884</v>
      </c>
      <c r="DU81" s="3">
        <f t="shared" si="183"/>
        <v>10.304792340988428</v>
      </c>
      <c r="DV81" s="3">
        <f t="shared" si="184"/>
        <v>9.2048752162859042</v>
      </c>
      <c r="DW81" s="3">
        <f t="shared" si="185"/>
        <v>8.1664800969913038</v>
      </c>
      <c r="DX81" s="3">
        <f t="shared" si="186"/>
        <v>7.1758148700171054</v>
      </c>
      <c r="DY81" s="3">
        <f t="shared" si="187"/>
        <v>6.2216789662077723</v>
      </c>
      <c r="DZ81" s="3">
        <f t="shared" si="188"/>
        <v>5.2950322052990852</v>
      </c>
      <c r="EA81" s="3">
        <f t="shared" si="189"/>
        <v>4.3886486334763228</v>
      </c>
      <c r="EB81" s="3">
        <f t="shared" si="190"/>
        <v>3.4968246420611964</v>
      </c>
      <c r="EC81" s="3">
        <f t="shared" si="191"/>
        <v>2.6151178412450133</v>
      </c>
      <c r="ED81" s="3">
        <f t="shared" si="192"/>
        <v>1.7400993792489279</v>
      </c>
      <c r="EE81" s="3">
        <f t="shared" si="193"/>
        <v>0.86910807270927892</v>
      </c>
      <c r="EF81" s="3">
        <v>0</v>
      </c>
    </row>
    <row r="82" spans="7:136" x14ac:dyDescent="0.3">
      <c r="G82" s="16"/>
      <c r="H82" s="3">
        <f t="shared" si="113"/>
        <v>100</v>
      </c>
      <c r="I82" s="3">
        <f t="shared" si="194"/>
        <v>68.346900229294192</v>
      </c>
      <c r="J82" s="3">
        <f t="shared" si="195"/>
        <v>60.283178721027966</v>
      </c>
      <c r="K82" s="3">
        <f t="shared" si="196"/>
        <v>53.097723757986095</v>
      </c>
      <c r="L82" s="3">
        <f t="shared" si="197"/>
        <v>46.837449369696131</v>
      </c>
      <c r="M82" s="3">
        <f t="shared" si="198"/>
        <v>41.445459884280694</v>
      </c>
      <c r="N82" s="3">
        <f t="shared" si="199"/>
        <v>36.819299321793757</v>
      </c>
      <c r="O82" s="3">
        <f t="shared" si="200"/>
        <v>32.844984757742061</v>
      </c>
      <c r="P82" s="3">
        <f t="shared" si="201"/>
        <v>29.414101376508718</v>
      </c>
      <c r="Q82" s="3">
        <f t="shared" si="202"/>
        <v>26.430828568769051</v>
      </c>
      <c r="R82" s="3">
        <f t="shared" si="203"/>
        <v>23.81364449379365</v>
      </c>
      <c r="S82" s="3">
        <f t="shared" si="204"/>
        <v>21.494548497000995</v>
      </c>
      <c r="T82" s="3">
        <f t="shared" si="205"/>
        <v>19.417340737236749</v>
      </c>
      <c r="U82" s="3">
        <f t="shared" si="206"/>
        <v>17.535720675680203</v>
      </c>
      <c r="V82" s="3">
        <f t="shared" si="207"/>
        <v>15.811538766339517</v>
      </c>
      <c r="W82" s="3">
        <f t="shared" si="208"/>
        <v>14.213317183572675</v>
      </c>
      <c r="X82" s="3">
        <f t="shared" si="209"/>
        <v>12.715052201495547</v>
      </c>
      <c r="Y82" s="3">
        <f t="shared" si="210"/>
        <v>11.295267428591739</v>
      </c>
      <c r="Z82" s="3">
        <f t="shared" si="211"/>
        <v>9.9362727871610765</v>
      </c>
      <c r="AA82" s="3">
        <f t="shared" si="212"/>
        <v>8.6235828370600345</v>
      </c>
      <c r="AB82" s="3">
        <f t="shared" si="213"/>
        <v>7.3454518621731975</v>
      </c>
      <c r="AC82" s="3">
        <f t="shared" si="214"/>
        <v>6.0924885194079756</v>
      </c>
      <c r="AD82" s="3">
        <f t="shared" si="215"/>
        <v>4.8573185003484953</v>
      </c>
      <c r="AE82" s="3">
        <f t="shared" si="216"/>
        <v>3.6342693741612941</v>
      </c>
      <c r="AF82" s="3">
        <f t="shared" si="217"/>
        <v>2.4190577955756032</v>
      </c>
      <c r="AG82" s="3">
        <f t="shared" si="218"/>
        <v>1.208465809032131</v>
      </c>
      <c r="AH82" s="3">
        <v>0</v>
      </c>
      <c r="AI82"/>
      <c r="AJ82"/>
      <c r="AK82"/>
      <c r="AL82"/>
      <c r="AO82" s="17"/>
      <c r="AP82" s="3">
        <f t="shared" si="116"/>
        <v>-358800000</v>
      </c>
      <c r="AQ82" s="3">
        <f t="shared" si="117"/>
        <v>-245792558.95438516</v>
      </c>
      <c r="AR82" s="3">
        <f t="shared" si="118"/>
        <v>-217098903.45439878</v>
      </c>
      <c r="AS82" s="3">
        <f t="shared" si="119"/>
        <v>-191383669.1804685</v>
      </c>
      <c r="AT82" s="3">
        <f t="shared" si="120"/>
        <v>-168884276.44825137</v>
      </c>
      <c r="AU82" s="3">
        <f t="shared" si="121"/>
        <v>-149450920.1152178</v>
      </c>
      <c r="AV82" s="3">
        <f t="shared" si="122"/>
        <v>-132749841.67675528</v>
      </c>
      <c r="AW82" s="3">
        <f t="shared" si="123"/>
        <v>-118390017.52443931</v>
      </c>
      <c r="AX82" s="3">
        <f t="shared" si="124"/>
        <v>-105990370.75966522</v>
      </c>
      <c r="AY82" s="3">
        <f t="shared" si="125"/>
        <v>-95209467.440927774</v>
      </c>
      <c r="AZ82" s="3">
        <f t="shared" si="126"/>
        <v>-85754468.78391023</v>
      </c>
      <c r="BA82" s="3">
        <f t="shared" si="127"/>
        <v>-77379941.170212239</v>
      </c>
      <c r="BB82" s="3">
        <f t="shared" si="128"/>
        <v>-69882504.358386591</v>
      </c>
      <c r="BC82" s="3">
        <f t="shared" si="129"/>
        <v>-63094386.028696828</v>
      </c>
      <c r="BD82" s="3">
        <f t="shared" si="130"/>
        <v>-56877292.137305155</v>
      </c>
      <c r="BE82" s="3">
        <f t="shared" si="131"/>
        <v>-51117128.473129511</v>
      </c>
      <c r="BF82" s="3">
        <f t="shared" si="132"/>
        <v>-45719682.505877487</v>
      </c>
      <c r="BG82" s="3">
        <f t="shared" si="133"/>
        <v>-40607186.918506801</v>
      </c>
      <c r="BH82" s="3">
        <f t="shared" si="134"/>
        <v>-35715617.741507269</v>
      </c>
      <c r="BI82" s="3">
        <f t="shared" si="135"/>
        <v>-30992566.750140134</v>
      </c>
      <c r="BJ82" s="3">
        <f t="shared" si="136"/>
        <v>-26395537.494013857</v>
      </c>
      <c r="BK82" s="3">
        <f t="shared" si="137"/>
        <v>-21890532.06593141</v>
      </c>
      <c r="BL82" s="3">
        <f t="shared" si="138"/>
        <v>-17450815.609278794</v>
      </c>
      <c r="BM82" s="3">
        <f t="shared" si="139"/>
        <v>-13055766.183583435</v>
      </c>
      <c r="BN82" s="3">
        <f t="shared" si="140"/>
        <v>-8689739.3378807716</v>
      </c>
      <c r="BO82" s="3">
        <f t="shared" si="141"/>
        <v>-4340900.1307171704</v>
      </c>
      <c r="BP82" s="3">
        <f t="shared" si="142"/>
        <v>0</v>
      </c>
      <c r="BW82" s="17"/>
      <c r="BX82" s="3">
        <v>1</v>
      </c>
      <c r="BY82" s="3">
        <f t="shared" si="143"/>
        <v>0.17990274775391865</v>
      </c>
      <c r="BZ82" s="3">
        <f t="shared" si="144"/>
        <v>0.17990274775391865</v>
      </c>
      <c r="CA82" s="3">
        <f t="shared" si="145"/>
        <v>0.17990274775391865</v>
      </c>
      <c r="CB82" s="3">
        <f t="shared" si="146"/>
        <v>0.17990274775391865</v>
      </c>
      <c r="CC82" s="3">
        <f t="shared" si="147"/>
        <v>0.17990274775391865</v>
      </c>
      <c r="CD82" s="3">
        <f t="shared" si="148"/>
        <v>0.17990274775391865</v>
      </c>
      <c r="CE82" s="3">
        <f t="shared" si="149"/>
        <v>0.17990274775391865</v>
      </c>
      <c r="CF82" s="3">
        <f t="shared" si="150"/>
        <v>0.17990274775391865</v>
      </c>
      <c r="CG82" s="3">
        <f t="shared" si="151"/>
        <v>0.17990274775391865</v>
      </c>
      <c r="CH82" s="3">
        <f t="shared" si="152"/>
        <v>0.17990274775391865</v>
      </c>
      <c r="CI82" s="3">
        <f t="shared" si="153"/>
        <v>0.17990274775391865</v>
      </c>
      <c r="CJ82" s="3">
        <f t="shared" si="154"/>
        <v>0.17990274775391865</v>
      </c>
      <c r="CK82" s="3">
        <f t="shared" si="155"/>
        <v>0.17990274775391865</v>
      </c>
      <c r="CL82" s="3">
        <f t="shared" si="156"/>
        <v>0.17990274775391865</v>
      </c>
      <c r="CM82" s="3">
        <f t="shared" si="157"/>
        <v>0.17990274775391865</v>
      </c>
      <c r="CN82" s="3">
        <f t="shared" si="158"/>
        <v>0.17990274775391865</v>
      </c>
      <c r="CO82" s="3">
        <f t="shared" si="159"/>
        <v>0.17990274775391865</v>
      </c>
      <c r="CP82" s="3">
        <f t="shared" si="160"/>
        <v>0.17990274775391865</v>
      </c>
      <c r="CQ82" s="3">
        <f t="shared" si="161"/>
        <v>0.17990274775391865</v>
      </c>
      <c r="CR82" s="3">
        <f t="shared" si="162"/>
        <v>0.17990274775391865</v>
      </c>
      <c r="CS82" s="3">
        <f t="shared" si="163"/>
        <v>0.17990274775391865</v>
      </c>
      <c r="CT82" s="3">
        <f t="shared" si="164"/>
        <v>0.17990274775391865</v>
      </c>
      <c r="CU82" s="3">
        <f t="shared" si="165"/>
        <v>0.17990274775391865</v>
      </c>
      <c r="CV82" s="3">
        <f t="shared" si="166"/>
        <v>0.17990274775391865</v>
      </c>
      <c r="CW82" s="3">
        <f t="shared" si="167"/>
        <v>0.17990274775391865</v>
      </c>
      <c r="CX82" s="3">
        <f t="shared" si="168"/>
        <v>0.17990274775391865</v>
      </c>
      <c r="DE82" s="17"/>
      <c r="DF82" s="3">
        <v>100</v>
      </c>
      <c r="DG82" s="3">
        <f t="shared" si="169"/>
        <v>56.408837309995242</v>
      </c>
      <c r="DH82" s="3">
        <f t="shared" si="170"/>
        <v>50.004157470154013</v>
      </c>
      <c r="DI82" s="3">
        <f t="shared" si="171"/>
        <v>44.235900636995886</v>
      </c>
      <c r="DJ82" s="3">
        <f t="shared" si="172"/>
        <v>39.161180202310298</v>
      </c>
      <c r="DK82" s="3">
        <f t="shared" si="173"/>
        <v>34.753675448246646</v>
      </c>
      <c r="DL82" s="3">
        <f t="shared" si="174"/>
        <v>30.945863146362036</v>
      </c>
      <c r="DM82" s="3">
        <f t="shared" si="175"/>
        <v>27.656017376210972</v>
      </c>
      <c r="DN82" s="3">
        <f t="shared" si="176"/>
        <v>24.802976676594742</v>
      </c>
      <c r="DO82" s="3">
        <f t="shared" si="177"/>
        <v>22.312989850969586</v>
      </c>
      <c r="DP82" s="3">
        <f t="shared" si="178"/>
        <v>20.122059475586205</v>
      </c>
      <c r="DQ82" s="3">
        <f t="shared" si="179"/>
        <v>18.176004313201059</v>
      </c>
      <c r="DR82" s="3">
        <f t="shared" si="180"/>
        <v>16.429527064709212</v>
      </c>
      <c r="DS82" s="3">
        <f t="shared" si="181"/>
        <v>14.844967895865594</v>
      </c>
      <c r="DT82" s="3">
        <f t="shared" si="182"/>
        <v>13.391069997723303</v>
      </c>
      <c r="DU82" s="3">
        <f t="shared" si="183"/>
        <v>12.041891522961295</v>
      </c>
      <c r="DV82" s="3">
        <f t="shared" si="184"/>
        <v>10.775901317412361</v>
      </c>
      <c r="DW82" s="3">
        <f t="shared" si="185"/>
        <v>9.5752508872941426</v>
      </c>
      <c r="DX82" s="3">
        <f t="shared" si="186"/>
        <v>8.4251968005650504</v>
      </c>
      <c r="DY82" s="3">
        <f t="shared" si="187"/>
        <v>7.3136423624589089</v>
      </c>
      <c r="DZ82" s="3">
        <f t="shared" si="188"/>
        <v>6.2307677602192086</v>
      </c>
      <c r="EA82" s="3">
        <f t="shared" si="189"/>
        <v>5.1687205148922191</v>
      </c>
      <c r="EB82" s="3">
        <f t="shared" si="190"/>
        <v>4.1213416028735868</v>
      </c>
      <c r="EC82" s="3">
        <f t="shared" si="191"/>
        <v>3.083906640718963</v>
      </c>
      <c r="ED82" s="3">
        <f t="shared" si="192"/>
        <v>2.0528661296956607</v>
      </c>
      <c r="EE82" s="3">
        <f t="shared" si="193"/>
        <v>1.0255740528010815</v>
      </c>
      <c r="EF82" s="3">
        <v>0</v>
      </c>
    </row>
    <row r="83" spans="7:136" x14ac:dyDescent="0.3">
      <c r="G83" s="16"/>
      <c r="H83" s="3">
        <f t="shared" si="113"/>
        <v>100</v>
      </c>
      <c r="I83" s="3">
        <f t="shared" si="194"/>
        <v>69.747848791068094</v>
      </c>
      <c r="J83" s="3">
        <f t="shared" si="195"/>
        <v>62.593287723841343</v>
      </c>
      <c r="K83" s="3">
        <f t="shared" si="196"/>
        <v>56.031003630205845</v>
      </c>
      <c r="L83" s="3">
        <f t="shared" si="197"/>
        <v>50.139528164539328</v>
      </c>
      <c r="M83" s="3">
        <f t="shared" si="198"/>
        <v>44.918407550894784</v>
      </c>
      <c r="N83" s="3">
        <f t="shared" si="199"/>
        <v>40.321632393932475</v>
      </c>
      <c r="O83" s="3">
        <f t="shared" si="200"/>
        <v>36.281839566957835</v>
      </c>
      <c r="P83" s="3">
        <f t="shared" si="201"/>
        <v>32.725441419616779</v>
      </c>
      <c r="Q83" s="3">
        <f t="shared" si="202"/>
        <v>29.581001054824327</v>
      </c>
      <c r="R83" s="3">
        <f t="shared" si="203"/>
        <v>26.78323790447449</v>
      </c>
      <c r="S83" s="3">
        <f t="shared" si="204"/>
        <v>24.27447466364919</v>
      </c>
      <c r="T83" s="3">
        <f t="shared" si="205"/>
        <v>22.004722047864032</v>
      </c>
      <c r="U83" s="3">
        <f t="shared" si="206"/>
        <v>19.931123854174256</v>
      </c>
      <c r="V83" s="3">
        <f t="shared" si="207"/>
        <v>18.01716742100205</v>
      </c>
      <c r="W83" s="3">
        <f t="shared" si="208"/>
        <v>16.231869229891824</v>
      </c>
      <c r="X83" s="3">
        <f t="shared" si="209"/>
        <v>14.549032252985256</v>
      </c>
      <c r="Y83" s="3">
        <f t="shared" si="210"/>
        <v>12.946609388994876</v>
      </c>
      <c r="Z83" s="3">
        <f t="shared" si="211"/>
        <v>11.406174703072175</v>
      </c>
      <c r="AA83" s="3">
        <f t="shared" si="212"/>
        <v>9.9124879812104787</v>
      </c>
      <c r="AB83" s="3">
        <f t="shared" si="213"/>
        <v>8.4531306546193434</v>
      </c>
      <c r="AC83" s="3">
        <f t="shared" si="214"/>
        <v>7.0181883266254221</v>
      </c>
      <c r="AD83" s="3">
        <f t="shared" si="215"/>
        <v>5.5999550176589237</v>
      </c>
      <c r="AE83" s="3">
        <f t="shared" si="216"/>
        <v>4.192636193111789</v>
      </c>
      <c r="AF83" s="3">
        <f t="shared" si="217"/>
        <v>2.7920316656194299</v>
      </c>
      <c r="AG83" s="3">
        <f t="shared" si="218"/>
        <v>1.3951857106927292</v>
      </c>
      <c r="AH83" s="3">
        <v>0</v>
      </c>
      <c r="AI83"/>
      <c r="AJ83"/>
      <c r="AK83"/>
      <c r="AL83"/>
      <c r="AO83" s="17"/>
      <c r="AP83" s="3">
        <f t="shared" si="116"/>
        <v>-358800000</v>
      </c>
      <c r="AQ83" s="3">
        <f t="shared" si="117"/>
        <v>-250613915.84722558</v>
      </c>
      <c r="AR83" s="3">
        <f t="shared" si="118"/>
        <v>-225132483.25531921</v>
      </c>
      <c r="AS83" s="3">
        <f t="shared" si="119"/>
        <v>-201672843.61087698</v>
      </c>
      <c r="AT83" s="3">
        <f t="shared" si="120"/>
        <v>-180544614.8237122</v>
      </c>
      <c r="AU83" s="3">
        <f t="shared" si="121"/>
        <v>-161775884.46349871</v>
      </c>
      <c r="AV83" s="3">
        <f t="shared" si="122"/>
        <v>-145224455.63332874</v>
      </c>
      <c r="AW83" s="3">
        <f t="shared" si="123"/>
        <v>-130663545.58718249</v>
      </c>
      <c r="AX83" s="3">
        <f t="shared" si="124"/>
        <v>-117837681.52748895</v>
      </c>
      <c r="AY83" s="3">
        <f t="shared" si="125"/>
        <v>-106494818.81945418</v>
      </c>
      <c r="AZ83" s="3">
        <f t="shared" si="126"/>
        <v>-96402410.02379857</v>
      </c>
      <c r="BA83" s="3">
        <f t="shared" si="127"/>
        <v>-87353767.569481432</v>
      </c>
      <c r="BB83" s="3">
        <f t="shared" si="128"/>
        <v>-79169096.891560435</v>
      </c>
      <c r="BC83" s="3">
        <f t="shared" si="129"/>
        <v>-71693924.573783472</v>
      </c>
      <c r="BD83" s="3">
        <f t="shared" si="130"/>
        <v>-64796488.278075412</v>
      </c>
      <c r="BE83" s="3">
        <f t="shared" si="131"/>
        <v>-58364921.065742031</v>
      </c>
      <c r="BF83" s="3">
        <f t="shared" si="132"/>
        <v>-52304627.788537808</v>
      </c>
      <c r="BG83" s="3">
        <f t="shared" si="133"/>
        <v>-46536007.197504498</v>
      </c>
      <c r="BH83" s="3">
        <f t="shared" si="134"/>
        <v>-40992543.126171805</v>
      </c>
      <c r="BI83" s="3">
        <f t="shared" si="135"/>
        <v>-35619222.110058576</v>
      </c>
      <c r="BJ83" s="3">
        <f t="shared" si="136"/>
        <v>-30371203.748585217</v>
      </c>
      <c r="BK83" s="3">
        <f t="shared" si="137"/>
        <v>-25212657.895509001</v>
      </c>
      <c r="BL83" s="3">
        <f t="shared" si="138"/>
        <v>-20115681.558147464</v>
      </c>
      <c r="BM83" s="3">
        <f t="shared" si="139"/>
        <v>-15059215.252981871</v>
      </c>
      <c r="BN83" s="3">
        <f t="shared" si="140"/>
        <v>-10027893.030904945</v>
      </c>
      <c r="BO83" s="3">
        <f t="shared" si="141"/>
        <v>-5010782.5137602948</v>
      </c>
      <c r="BP83" s="3">
        <f t="shared" si="142"/>
        <v>0</v>
      </c>
      <c r="BW83" s="17"/>
      <c r="BX83" s="3">
        <v>1</v>
      </c>
      <c r="BY83" s="3">
        <f t="shared" si="143"/>
        <v>0.17990274775391865</v>
      </c>
      <c r="BZ83" s="3">
        <f t="shared" si="144"/>
        <v>0.17990274775391865</v>
      </c>
      <c r="CA83" s="3">
        <f t="shared" si="145"/>
        <v>0.17990274775391865</v>
      </c>
      <c r="CB83" s="3">
        <f t="shared" si="146"/>
        <v>0.17990274775391865</v>
      </c>
      <c r="CC83" s="3">
        <f t="shared" si="147"/>
        <v>0.17990274775391865</v>
      </c>
      <c r="CD83" s="3">
        <f t="shared" si="148"/>
        <v>0.17990274775391865</v>
      </c>
      <c r="CE83" s="3">
        <f t="shared" si="149"/>
        <v>0.17990274775391865</v>
      </c>
      <c r="CF83" s="3">
        <f t="shared" si="150"/>
        <v>0.17990274775391865</v>
      </c>
      <c r="CG83" s="3">
        <f t="shared" si="151"/>
        <v>0.17990274775391865</v>
      </c>
      <c r="CH83" s="3">
        <f t="shared" si="152"/>
        <v>0.17990274775391865</v>
      </c>
      <c r="CI83" s="3">
        <f t="shared" si="153"/>
        <v>0.17990274775391865</v>
      </c>
      <c r="CJ83" s="3">
        <f t="shared" si="154"/>
        <v>0.17990274775391865</v>
      </c>
      <c r="CK83" s="3">
        <f t="shared" si="155"/>
        <v>0.17990274775391865</v>
      </c>
      <c r="CL83" s="3">
        <f t="shared" si="156"/>
        <v>0.17990274775391865</v>
      </c>
      <c r="CM83" s="3">
        <f t="shared" si="157"/>
        <v>0.17990274775391865</v>
      </c>
      <c r="CN83" s="3">
        <f t="shared" si="158"/>
        <v>0.17990274775391865</v>
      </c>
      <c r="CO83" s="3">
        <f t="shared" si="159"/>
        <v>0.17990274775391865</v>
      </c>
      <c r="CP83" s="3">
        <f t="shared" si="160"/>
        <v>0.17990274775391865</v>
      </c>
      <c r="CQ83" s="3">
        <f t="shared" si="161"/>
        <v>0.17990274775391865</v>
      </c>
      <c r="CR83" s="3">
        <f t="shared" si="162"/>
        <v>0.17990274775391865</v>
      </c>
      <c r="CS83" s="3">
        <f t="shared" si="163"/>
        <v>0.17990274775391865</v>
      </c>
      <c r="CT83" s="3">
        <f t="shared" si="164"/>
        <v>0.17990274775391865</v>
      </c>
      <c r="CU83" s="3">
        <f t="shared" si="165"/>
        <v>0.17990274775391865</v>
      </c>
      <c r="CV83" s="3">
        <f t="shared" si="166"/>
        <v>0.17990274775391865</v>
      </c>
      <c r="CW83" s="3">
        <f t="shared" si="167"/>
        <v>0.17990274775391865</v>
      </c>
      <c r="CX83" s="3">
        <f t="shared" si="168"/>
        <v>0.17990274775391865</v>
      </c>
      <c r="DE83" s="17"/>
      <c r="DF83" s="3">
        <v>100</v>
      </c>
      <c r="DG83" s="3">
        <f t="shared" si="169"/>
        <v>57.452053639355128</v>
      </c>
      <c r="DH83" s="3">
        <f t="shared" si="170"/>
        <v>51.748178228587854</v>
      </c>
      <c r="DI83" s="3">
        <f t="shared" si="171"/>
        <v>46.478577226665621</v>
      </c>
      <c r="DJ83" s="3">
        <f t="shared" si="172"/>
        <v>41.713342325145952</v>
      </c>
      <c r="DK83" s="3">
        <f t="shared" si="173"/>
        <v>37.462255435787881</v>
      </c>
      <c r="DL83" s="3">
        <f t="shared" si="174"/>
        <v>33.697739275567784</v>
      </c>
      <c r="DM83" s="3">
        <f t="shared" si="175"/>
        <v>30.37293655910446</v>
      </c>
      <c r="DN83" s="3">
        <f t="shared" si="176"/>
        <v>27.433763759270537</v>
      </c>
      <c r="DO83" s="3">
        <f t="shared" si="177"/>
        <v>24.826022369890001</v>
      </c>
      <c r="DP83" s="3">
        <f t="shared" si="178"/>
        <v>22.499097826006036</v>
      </c>
      <c r="DQ83" s="3">
        <f t="shared" si="179"/>
        <v>20.40754632730885</v>
      </c>
      <c r="DR83" s="3">
        <f t="shared" si="180"/>
        <v>18.511489095161039</v>
      </c>
      <c r="DS83" s="3">
        <f t="shared" si="181"/>
        <v>16.776399520774184</v>
      </c>
      <c r="DT83" s="3">
        <f t="shared" si="182"/>
        <v>15.172628150719966</v>
      </c>
      <c r="DU83" s="3">
        <f t="shared" si="183"/>
        <v>13.674854413869111</v>
      </c>
      <c r="DV83" s="3">
        <f t="shared" si="184"/>
        <v>12.261559424101694</v>
      </c>
      <c r="DW83" s="3">
        <f t="shared" si="185"/>
        <v>10.914559741975882</v>
      </c>
      <c r="DX83" s="3">
        <f t="shared" si="186"/>
        <v>9.6186119262294092</v>
      </c>
      <c r="DY83" s="3">
        <f t="shared" si="187"/>
        <v>8.3610817333398444</v>
      </c>
      <c r="DZ83" s="3">
        <f t="shared" si="188"/>
        <v>7.1316636811202461</v>
      </c>
      <c r="EA83" s="3">
        <f t="shared" si="189"/>
        <v>5.9221329013247237</v>
      </c>
      <c r="EB83" s="3">
        <f t="shared" si="190"/>
        <v>4.726110072730286</v>
      </c>
      <c r="EC83" s="3">
        <f t="shared" si="191"/>
        <v>3.5388211466222579</v>
      </c>
      <c r="ED83" s="3">
        <f t="shared" si="192"/>
        <v>2.3568365212198419</v>
      </c>
      <c r="EE83" s="3">
        <f t="shared" si="193"/>
        <v>1.1777793910811865</v>
      </c>
      <c r="EF83" s="3">
        <v>0</v>
      </c>
    </row>
    <row r="84" spans="7:136" x14ac:dyDescent="0.3">
      <c r="G84" s="16"/>
      <c r="H84" s="3">
        <f t="shared" si="113"/>
        <v>100</v>
      </c>
      <c r="I84" s="3">
        <f t="shared" si="194"/>
        <v>70.775123759135639</v>
      </c>
      <c r="J84" s="3">
        <f t="shared" si="195"/>
        <v>64.332659408976653</v>
      </c>
      <c r="K84" s="3">
        <f t="shared" si="196"/>
        <v>58.304111011538417</v>
      </c>
      <c r="L84" s="3">
        <f t="shared" si="197"/>
        <v>52.770613785766002</v>
      </c>
      <c r="M84" s="3">
        <f t="shared" si="198"/>
        <v>47.757194015528619</v>
      </c>
      <c r="N84" s="3">
        <f t="shared" si="199"/>
        <v>43.250444409783341</v>
      </c>
      <c r="O84" s="3">
        <f t="shared" si="200"/>
        <v>39.214079983377616</v>
      </c>
      <c r="P84" s="3">
        <f t="shared" si="201"/>
        <v>35.600421611602911</v>
      </c>
      <c r="Q84" s="3">
        <f t="shared" si="202"/>
        <v>32.357966056774849</v>
      </c>
      <c r="R84" s="3">
        <f t="shared" si="203"/>
        <v>29.435924366016238</v>
      </c>
      <c r="S84" s="3">
        <f t="shared" si="204"/>
        <v>26.786673140807316</v>
      </c>
      <c r="T84" s="3">
        <f t="shared" si="205"/>
        <v>24.366884823763154</v>
      </c>
      <c r="U84" s="3">
        <f t="shared" si="206"/>
        <v>22.137882486932458</v>
      </c>
      <c r="V84" s="3">
        <f t="shared" si="207"/>
        <v>20.065576918305123</v>
      </c>
      <c r="W84" s="3">
        <f t="shared" si="208"/>
        <v>18.120206254599147</v>
      </c>
      <c r="X84" s="3">
        <f t="shared" si="209"/>
        <v>16.276005547966562</v>
      </c>
      <c r="Y84" s="3">
        <f t="shared" si="210"/>
        <v>14.510874046940318</v>
      </c>
      <c r="Z84" s="3">
        <f t="shared" si="211"/>
        <v>12.806070809677184</v>
      </c>
      <c r="AA84" s="3">
        <f t="shared" si="212"/>
        <v>11.145946329483566</v>
      </c>
      <c r="AB84" s="3">
        <f t="shared" si="213"/>
        <v>9.5177036103701962</v>
      </c>
      <c r="AC84" s="3">
        <f t="shared" si="214"/>
        <v>7.9111732824698855</v>
      </c>
      <c r="AD84" s="3">
        <f t="shared" si="215"/>
        <v>6.3185822818465498</v>
      </c>
      <c r="AE84" s="3">
        <f t="shared" si="216"/>
        <v>4.7342939310250012</v>
      </c>
      <c r="AF84" s="3">
        <f t="shared" si="217"/>
        <v>3.1544992764960753</v>
      </c>
      <c r="AG84" s="3">
        <f t="shared" si="218"/>
        <v>1.5768457861714729</v>
      </c>
      <c r="AH84" s="3">
        <v>0</v>
      </c>
      <c r="AI84"/>
      <c r="AJ84"/>
      <c r="AK84"/>
      <c r="AL84"/>
      <c r="AO84" s="17"/>
      <c r="AP84" s="3">
        <f t="shared" si="116"/>
        <v>-358800000</v>
      </c>
      <c r="AQ84" s="3">
        <f t="shared" si="117"/>
        <v>-254183574.5219267</v>
      </c>
      <c r="AR84" s="3">
        <f t="shared" si="118"/>
        <v>-231213879.70848578</v>
      </c>
      <c r="AS84" s="3">
        <f t="shared" si="119"/>
        <v>-209667202.89066049</v>
      </c>
      <c r="AT84" s="3">
        <f t="shared" si="120"/>
        <v>-189844253.33862308</v>
      </c>
      <c r="AU84" s="3">
        <f t="shared" si="121"/>
        <v>-171850002.40037042</v>
      </c>
      <c r="AV84" s="3">
        <f t="shared" si="122"/>
        <v>-155650592.59990492</v>
      </c>
      <c r="AW84" s="3">
        <f t="shared" si="123"/>
        <v>-141126761.91338012</v>
      </c>
      <c r="AX84" s="3">
        <f t="shared" si="124"/>
        <v>-128114845.14759021</v>
      </c>
      <c r="AY84" s="3">
        <f t="shared" si="125"/>
        <v>-116434596.58607005</v>
      </c>
      <c r="AZ84" s="3">
        <f t="shared" si="126"/>
        <v>-105906304.62435807</v>
      </c>
      <c r="BA84" s="3">
        <f t="shared" si="127"/>
        <v>-96360302.953529045</v>
      </c>
      <c r="BB84" s="3">
        <f t="shared" si="128"/>
        <v>-87641553.832431629</v>
      </c>
      <c r="BC84" s="3">
        <f t="shared" si="129"/>
        <v>-79611275.623303503</v>
      </c>
      <c r="BD84" s="3">
        <f t="shared" si="130"/>
        <v>-72146939.402144492</v>
      </c>
      <c r="BE84" s="3">
        <f t="shared" si="131"/>
        <v>-65141465.512915894</v>
      </c>
      <c r="BF84" s="3">
        <f t="shared" si="132"/>
        <v>-58502108.845999345</v>
      </c>
      <c r="BG84" s="3">
        <f t="shared" si="133"/>
        <v>-52149298.088981807</v>
      </c>
      <c r="BH84" s="3">
        <f t="shared" si="134"/>
        <v>-46015553.098706178</v>
      </c>
      <c r="BI84" s="3">
        <f t="shared" si="135"/>
        <v>-40044516.85952989</v>
      </c>
      <c r="BJ84" s="3">
        <f t="shared" si="136"/>
        <v>-34190084.098857366</v>
      </c>
      <c r="BK84" s="3">
        <f t="shared" si="137"/>
        <v>-28415575.214160118</v>
      </c>
      <c r="BL84" s="3">
        <f t="shared" si="138"/>
        <v>-22692885.477645282</v>
      </c>
      <c r="BM84" s="3">
        <f t="shared" si="139"/>
        <v>-17001533.602368623</v>
      </c>
      <c r="BN84" s="3">
        <f t="shared" si="140"/>
        <v>-11327541.328631002</v>
      </c>
      <c r="BO84" s="3">
        <f t="shared" si="141"/>
        <v>-5662097.9447643217</v>
      </c>
      <c r="BP84" s="3">
        <f t="shared" si="142"/>
        <v>0</v>
      </c>
      <c r="BW84" s="17"/>
      <c r="BX84" s="3">
        <v>1</v>
      </c>
      <c r="BY84" s="3">
        <f t="shared" si="143"/>
        <v>0.17990274775391865</v>
      </c>
      <c r="BZ84" s="3">
        <f t="shared" si="144"/>
        <v>0.17990274775391865</v>
      </c>
      <c r="CA84" s="3">
        <f t="shared" si="145"/>
        <v>0.17990274775391865</v>
      </c>
      <c r="CB84" s="3">
        <f t="shared" si="146"/>
        <v>0.17990274775391865</v>
      </c>
      <c r="CC84" s="3">
        <f t="shared" si="147"/>
        <v>0.17990274775391865</v>
      </c>
      <c r="CD84" s="3">
        <f t="shared" si="148"/>
        <v>0.17990274775391865</v>
      </c>
      <c r="CE84" s="3">
        <f t="shared" si="149"/>
        <v>0.17990274775391865</v>
      </c>
      <c r="CF84" s="3">
        <f t="shared" si="150"/>
        <v>0.17990274775391865</v>
      </c>
      <c r="CG84" s="3">
        <f t="shared" si="151"/>
        <v>0.17990274775391865</v>
      </c>
      <c r="CH84" s="3">
        <f t="shared" si="152"/>
        <v>0.17990274775391865</v>
      </c>
      <c r="CI84" s="3">
        <f t="shared" si="153"/>
        <v>0.17990274775391865</v>
      </c>
      <c r="CJ84" s="3">
        <f t="shared" si="154"/>
        <v>0.17990274775391865</v>
      </c>
      <c r="CK84" s="3">
        <f t="shared" si="155"/>
        <v>0.17990274775391865</v>
      </c>
      <c r="CL84" s="3">
        <f t="shared" si="156"/>
        <v>0.17990274775391865</v>
      </c>
      <c r="CM84" s="3">
        <f t="shared" si="157"/>
        <v>0.17990274775391865</v>
      </c>
      <c r="CN84" s="3">
        <f t="shared" si="158"/>
        <v>0.17990274775391865</v>
      </c>
      <c r="CO84" s="3">
        <f t="shared" si="159"/>
        <v>0.17990274775391865</v>
      </c>
      <c r="CP84" s="3">
        <f t="shared" si="160"/>
        <v>0.17990274775391865</v>
      </c>
      <c r="CQ84" s="3">
        <f t="shared" si="161"/>
        <v>0.17990274775391865</v>
      </c>
      <c r="CR84" s="3">
        <f t="shared" si="162"/>
        <v>0.17990274775391865</v>
      </c>
      <c r="CS84" s="3">
        <f t="shared" si="163"/>
        <v>0.17990274775391865</v>
      </c>
      <c r="CT84" s="3">
        <f t="shared" si="164"/>
        <v>0.17990274775391865</v>
      </c>
      <c r="CU84" s="3">
        <f t="shared" si="165"/>
        <v>0.17990274775391865</v>
      </c>
      <c r="CV84" s="3">
        <f t="shared" si="166"/>
        <v>0.17990274775391865</v>
      </c>
      <c r="CW84" s="3">
        <f t="shared" si="167"/>
        <v>0.17990274775391865</v>
      </c>
      <c r="CX84" s="3">
        <f t="shared" si="168"/>
        <v>0.17990274775391865</v>
      </c>
      <c r="DE84" s="17"/>
      <c r="DF84" s="3">
        <v>100</v>
      </c>
      <c r="DG84" s="3">
        <f t="shared" si="169"/>
        <v>58.22729411169766</v>
      </c>
      <c r="DH84" s="3">
        <f t="shared" si="170"/>
        <v>53.071954956505969</v>
      </c>
      <c r="DI84" s="3">
        <f t="shared" si="171"/>
        <v>48.223979499054593</v>
      </c>
      <c r="DJ84" s="3">
        <f t="shared" si="172"/>
        <v>43.750374897880384</v>
      </c>
      <c r="DK84" s="3">
        <f t="shared" si="173"/>
        <v>39.676249072392281</v>
      </c>
      <c r="DL84" s="3">
        <f t="shared" si="174"/>
        <v>35.99647194819147</v>
      </c>
      <c r="DM84" s="3">
        <f t="shared" si="175"/>
        <v>32.686877351715054</v>
      </c>
      <c r="DN84" s="3">
        <f t="shared" si="176"/>
        <v>29.713024778753955</v>
      </c>
      <c r="DO84" s="3">
        <f t="shared" si="177"/>
        <v>27.03626268570039</v>
      </c>
      <c r="DP84" s="3">
        <f t="shared" si="178"/>
        <v>24.617546273254373</v>
      </c>
      <c r="DQ84" s="3">
        <f t="shared" si="179"/>
        <v>22.419628448533945</v>
      </c>
      <c r="DR84" s="3">
        <f t="shared" si="180"/>
        <v>20.408174863791178</v>
      </c>
      <c r="DS84" s="3">
        <f t="shared" si="181"/>
        <v>18.552218539742835</v>
      </c>
      <c r="DT84" s="3">
        <f t="shared" si="182"/>
        <v>16.824238992524471</v>
      </c>
      <c r="DU84" s="3">
        <f t="shared" si="183"/>
        <v>15.200048378959325</v>
      </c>
      <c r="DV84" s="3">
        <f t="shared" si="184"/>
        <v>13.65859466849413</v>
      </c>
      <c r="DW84" s="3">
        <f t="shared" si="185"/>
        <v>12.181743443763457</v>
      </c>
      <c r="DX84" s="3">
        <f t="shared" si="186"/>
        <v>10.754068639233262</v>
      </c>
      <c r="DY84" s="3">
        <f t="shared" si="187"/>
        <v>9.3626625045861065</v>
      </c>
      <c r="DZ84" s="3">
        <f t="shared" si="188"/>
        <v>7.9969621784812954</v>
      </c>
      <c r="EA84" s="3">
        <f t="shared" si="189"/>
        <v>6.6485819182554957</v>
      </c>
      <c r="EB84" s="3">
        <f t="shared" si="190"/>
        <v>5.3111349868713651</v>
      </c>
      <c r="EC84" s="3">
        <f t="shared" si="191"/>
        <v>3.980027159551661</v>
      </c>
      <c r="ED84" s="3">
        <f t="shared" si="192"/>
        <v>2.6522051080351896</v>
      </c>
      <c r="EE84" s="3">
        <f t="shared" si="193"/>
        <v>1.325848043190847</v>
      </c>
      <c r="EF84" s="3">
        <v>0</v>
      </c>
    </row>
    <row r="85" spans="7:136" x14ac:dyDescent="0.3">
      <c r="G85" s="16"/>
      <c r="H85" s="3">
        <f t="shared" si="113"/>
        <v>100</v>
      </c>
      <c r="I85" s="3">
        <f t="shared" si="194"/>
        <v>71.549802015008851</v>
      </c>
      <c r="J85" s="3">
        <f t="shared" si="195"/>
        <v>65.667450213287651</v>
      </c>
      <c r="K85" s="3">
        <f t="shared" si="196"/>
        <v>60.085370449957288</v>
      </c>
      <c r="L85" s="3">
        <f t="shared" si="197"/>
        <v>54.877302994606922</v>
      </c>
      <c r="M85" s="3">
        <f t="shared" si="198"/>
        <v>50.07794070546538</v>
      </c>
      <c r="N85" s="3">
        <f t="shared" si="199"/>
        <v>45.691633031425475</v>
      </c>
      <c r="O85" s="3">
        <f t="shared" si="200"/>
        <v>41.701786343009154</v>
      </c>
      <c r="P85" s="3">
        <f t="shared" si="201"/>
        <v>38.078911903693566</v>
      </c>
      <c r="Q85" s="3">
        <f t="shared" si="202"/>
        <v>34.786701520221236</v>
      </c>
      <c r="R85" s="3">
        <f t="shared" si="203"/>
        <v>31.786233056443553</v>
      </c>
      <c r="S85" s="3">
        <f t="shared" si="204"/>
        <v>29.038679983423322</v>
      </c>
      <c r="T85" s="3">
        <f t="shared" si="205"/>
        <v>26.506937259215615</v>
      </c>
      <c r="U85" s="3">
        <f t="shared" si="206"/>
        <v>24.15651642101075</v>
      </c>
      <c r="V85" s="3">
        <f t="shared" si="207"/>
        <v>21.955977630420119</v>
      </c>
      <c r="W85" s="3">
        <f t="shared" si="208"/>
        <v>19.877087102505016</v>
      </c>
      <c r="X85" s="3">
        <f t="shared" si="209"/>
        <v>17.894825046555802</v>
      </c>
      <c r="Y85" s="3">
        <f t="shared" si="210"/>
        <v>15.98732235946056</v>
      </c>
      <c r="Z85" s="3">
        <f t="shared" si="211"/>
        <v>14.135770701716465</v>
      </c>
      <c r="AA85" s="3">
        <f t="shared" si="212"/>
        <v>12.324326522665688</v>
      </c>
      <c r="AB85" s="3">
        <f t="shared" si="213"/>
        <v>10.540012003054713</v>
      </c>
      <c r="AC85" s="3">
        <f t="shared" si="214"/>
        <v>8.7726027506720605</v>
      </c>
      <c r="AD85" s="3">
        <f t="shared" si="215"/>
        <v>7.0144826064822245</v>
      </c>
      <c r="AE85" s="3">
        <f t="shared" si="216"/>
        <v>5.2604404108223841</v>
      </c>
      <c r="AF85" s="3">
        <f t="shared" si="217"/>
        <v>3.5073832510257983</v>
      </c>
      <c r="AG85" s="3">
        <f t="shared" si="218"/>
        <v>1.7539471224880445</v>
      </c>
      <c r="AH85" s="3">
        <v>0</v>
      </c>
      <c r="AI85"/>
      <c r="AJ85"/>
      <c r="AK85"/>
      <c r="AL85"/>
      <c r="AO85" s="17"/>
      <c r="AP85" s="3">
        <f t="shared" si="116"/>
        <v>-358800000</v>
      </c>
      <c r="AQ85" s="3">
        <f t="shared" si="117"/>
        <v>-256893677.34981483</v>
      </c>
      <c r="AR85" s="3">
        <f t="shared" si="118"/>
        <v>-235900994.70233652</v>
      </c>
      <c r="AS85" s="3">
        <f t="shared" si="119"/>
        <v>-215947384.56815812</v>
      </c>
      <c r="AT85" s="3">
        <f t="shared" si="120"/>
        <v>-197299471.75818932</v>
      </c>
      <c r="AU85" s="3">
        <f t="shared" si="121"/>
        <v>-180088966.63398188</v>
      </c>
      <c r="AV85" s="3">
        <f t="shared" si="122"/>
        <v>-164339886.47882557</v>
      </c>
      <c r="AW85" s="3">
        <f t="shared" si="123"/>
        <v>-150000172.73053226</v>
      </c>
      <c r="AX85" s="3">
        <f t="shared" si="124"/>
        <v>-136969809.11321855</v>
      </c>
      <c r="AY85" s="3">
        <f t="shared" si="125"/>
        <v>-125122604.68888466</v>
      </c>
      <c r="AZ85" s="3">
        <f t="shared" si="126"/>
        <v>-114321578.58123949</v>
      </c>
      <c r="BA85" s="3">
        <f t="shared" si="127"/>
        <v>-104429048.77327098</v>
      </c>
      <c r="BB85" s="3">
        <f t="shared" si="128"/>
        <v>-95312795.334833443</v>
      </c>
      <c r="BC85" s="3">
        <f t="shared" si="129"/>
        <v>-86849529.09442015</v>
      </c>
      <c r="BD85" s="3">
        <f t="shared" si="130"/>
        <v>-78926626.11145699</v>
      </c>
      <c r="BE85" s="3">
        <f t="shared" si="131"/>
        <v>-71442816.541818336</v>
      </c>
      <c r="BF85" s="3">
        <f t="shared" si="132"/>
        <v>-64308291.471493348</v>
      </c>
      <c r="BG85" s="3">
        <f t="shared" si="133"/>
        <v>-57444520.911529683</v>
      </c>
      <c r="BH85" s="3">
        <f t="shared" si="134"/>
        <v>-50783952.35652449</v>
      </c>
      <c r="BI85" s="3">
        <f t="shared" si="135"/>
        <v>-44269670.15873462</v>
      </c>
      <c r="BJ85" s="3">
        <f t="shared" si="136"/>
        <v>-37855030.949414782</v>
      </c>
      <c r="BK85" s="3">
        <f t="shared" si="137"/>
        <v>-31503242.427109275</v>
      </c>
      <c r="BL85" s="3">
        <f t="shared" si="138"/>
        <v>-25186819.061405409</v>
      </c>
      <c r="BM85" s="3">
        <f t="shared" si="139"/>
        <v>-18886829.513610788</v>
      </c>
      <c r="BN85" s="3">
        <f t="shared" si="140"/>
        <v>-12591850.645671207</v>
      </c>
      <c r="BO85" s="3">
        <f t="shared" si="141"/>
        <v>-6296566.5370752262</v>
      </c>
      <c r="BP85" s="3">
        <f t="shared" si="142"/>
        <v>0</v>
      </c>
      <c r="BW85" s="17"/>
      <c r="BX85" s="3">
        <v>1</v>
      </c>
      <c r="BY85" s="3">
        <f t="shared" si="143"/>
        <v>0.17990274775391865</v>
      </c>
      <c r="BZ85" s="3">
        <f t="shared" si="144"/>
        <v>0.17990274775391865</v>
      </c>
      <c r="CA85" s="3">
        <f t="shared" si="145"/>
        <v>0.17990274775391865</v>
      </c>
      <c r="CB85" s="3">
        <f t="shared" si="146"/>
        <v>0.17990274775391865</v>
      </c>
      <c r="CC85" s="3">
        <f t="shared" si="147"/>
        <v>0.17990274775391865</v>
      </c>
      <c r="CD85" s="3">
        <f t="shared" si="148"/>
        <v>0.17990274775391865</v>
      </c>
      <c r="CE85" s="3">
        <f t="shared" si="149"/>
        <v>0.17990274775391865</v>
      </c>
      <c r="CF85" s="3">
        <f t="shared" si="150"/>
        <v>0.17990274775391865</v>
      </c>
      <c r="CG85" s="3">
        <f t="shared" si="151"/>
        <v>0.17990274775391865</v>
      </c>
      <c r="CH85" s="3">
        <f t="shared" si="152"/>
        <v>0.17990274775391865</v>
      </c>
      <c r="CI85" s="3">
        <f t="shared" si="153"/>
        <v>0.17990274775391865</v>
      </c>
      <c r="CJ85" s="3">
        <f t="shared" si="154"/>
        <v>0.17990274775391865</v>
      </c>
      <c r="CK85" s="3">
        <f t="shared" si="155"/>
        <v>0.17990274775391865</v>
      </c>
      <c r="CL85" s="3">
        <f t="shared" si="156"/>
        <v>0.17990274775391865</v>
      </c>
      <c r="CM85" s="3">
        <f t="shared" si="157"/>
        <v>0.17990274775391865</v>
      </c>
      <c r="CN85" s="3">
        <f t="shared" si="158"/>
        <v>0.17990274775391865</v>
      </c>
      <c r="CO85" s="3">
        <f t="shared" si="159"/>
        <v>0.17990274775391865</v>
      </c>
      <c r="CP85" s="3">
        <f t="shared" si="160"/>
        <v>0.17990274775391865</v>
      </c>
      <c r="CQ85" s="3">
        <f t="shared" si="161"/>
        <v>0.17990274775391865</v>
      </c>
      <c r="CR85" s="3">
        <f t="shared" si="162"/>
        <v>0.17990274775391865</v>
      </c>
      <c r="CS85" s="3">
        <f t="shared" si="163"/>
        <v>0.17990274775391865</v>
      </c>
      <c r="CT85" s="3">
        <f t="shared" si="164"/>
        <v>0.17990274775391865</v>
      </c>
      <c r="CU85" s="3">
        <f t="shared" si="165"/>
        <v>0.17990274775391865</v>
      </c>
      <c r="CV85" s="3">
        <f t="shared" si="166"/>
        <v>0.17990274775391865</v>
      </c>
      <c r="CW85" s="3">
        <f t="shared" si="167"/>
        <v>0.17990274775391865</v>
      </c>
      <c r="CX85" s="3">
        <f t="shared" si="168"/>
        <v>0.17990274775391865</v>
      </c>
      <c r="DE85" s="17"/>
      <c r="DF85" s="3">
        <v>100</v>
      </c>
      <c r="DG85" s="3">
        <f t="shared" si="169"/>
        <v>58.817162778116703</v>
      </c>
      <c r="DH85" s="3">
        <f t="shared" si="170"/>
        <v>54.093828015295763</v>
      </c>
      <c r="DI85" s="3">
        <f t="shared" si="171"/>
        <v>49.596300673632022</v>
      </c>
      <c r="DJ85" s="3">
        <f t="shared" si="172"/>
        <v>45.383724573886795</v>
      </c>
      <c r="DK85" s="3">
        <f t="shared" si="173"/>
        <v>41.486290277054778</v>
      </c>
      <c r="DL85" s="3">
        <f t="shared" si="174"/>
        <v>37.910759240527341</v>
      </c>
      <c r="DM85" s="3">
        <f t="shared" si="175"/>
        <v>34.647065603357582</v>
      </c>
      <c r="DN85" s="3">
        <f t="shared" si="176"/>
        <v>31.674298234568216</v>
      </c>
      <c r="DO85" s="3">
        <f t="shared" si="177"/>
        <v>28.965414514879409</v>
      </c>
      <c r="DP85" s="3">
        <f t="shared" si="178"/>
        <v>26.490629380320705</v>
      </c>
      <c r="DQ85" s="3">
        <f t="shared" si="179"/>
        <v>24.219683882205995</v>
      </c>
      <c r="DR85" s="3">
        <f t="shared" si="180"/>
        <v>22.123267725217364</v>
      </c>
      <c r="DS85" s="3">
        <f t="shared" si="181"/>
        <v>20.173850532158244</v>
      </c>
      <c r="DT85" s="3">
        <f t="shared" si="182"/>
        <v>18.34612520754942</v>
      </c>
      <c r="DU85" s="3">
        <f t="shared" si="183"/>
        <v>16.617212207434886</v>
      </c>
      <c r="DV85" s="3">
        <f t="shared" si="184"/>
        <v>14.966726926018593</v>
      </c>
      <c r="DW85" s="3">
        <f t="shared" si="185"/>
        <v>13.376776246104971</v>
      </c>
      <c r="DX85" s="3">
        <f t="shared" si="186"/>
        <v>11.83192337512429</v>
      </c>
      <c r="DY85" s="3">
        <f t="shared" si="187"/>
        <v>10.31914015167389</v>
      </c>
      <c r="DZ85" s="3">
        <f t="shared" si="188"/>
        <v>8.8277509712417217</v>
      </c>
      <c r="EA85" s="3">
        <f t="shared" si="189"/>
        <v>7.3493609391983394</v>
      </c>
      <c r="EB85" s="3">
        <f t="shared" si="190"/>
        <v>5.8777522920688048</v>
      </c>
      <c r="EC85" s="3">
        <f t="shared" si="191"/>
        <v>4.4087279239562855</v>
      </c>
      <c r="ED85" s="3">
        <f t="shared" si="192"/>
        <v>2.9398801633964062</v>
      </c>
      <c r="EE85" s="3">
        <f t="shared" si="193"/>
        <v>1.4702682327716086</v>
      </c>
      <c r="EF85" s="3">
        <v>0</v>
      </c>
    </row>
    <row r="86" spans="7:136" x14ac:dyDescent="0.3">
      <c r="G86" s="16"/>
      <c r="H86" s="3">
        <f t="shared" si="113"/>
        <v>100</v>
      </c>
      <c r="I86" s="3">
        <f t="shared" si="194"/>
        <v>72.144238370740496</v>
      </c>
      <c r="J86" s="3">
        <f t="shared" si="195"/>
        <v>66.704056681325255</v>
      </c>
      <c r="K86" s="3">
        <f t="shared" si="196"/>
        <v>61.490412922970712</v>
      </c>
      <c r="L86" s="3">
        <f t="shared" si="197"/>
        <v>56.567521947508617</v>
      </c>
      <c r="M86" s="3">
        <f t="shared" si="198"/>
        <v>51.972207513686932</v>
      </c>
      <c r="N86" s="3">
        <f t="shared" si="199"/>
        <v>47.717811617979542</v>
      </c>
      <c r="O86" s="3">
        <f t="shared" si="200"/>
        <v>43.799638960975571</v>
      </c>
      <c r="P86" s="3">
        <f t="shared" si="201"/>
        <v>40.200359110833787</v>
      </c>
      <c r="Q86" s="3">
        <f t="shared" si="202"/>
        <v>36.894604846019064</v>
      </c>
      <c r="R86" s="3">
        <f t="shared" si="203"/>
        <v>33.852537060064577</v>
      </c>
      <c r="S86" s="3">
        <f t="shared" si="204"/>
        <v>31.042430273266035</v>
      </c>
      <c r="T86" s="3">
        <f t="shared" si="205"/>
        <v>28.43245071408932</v>
      </c>
      <c r="U86" s="3">
        <f t="shared" si="206"/>
        <v>25.991823853384375</v>
      </c>
      <c r="V86" s="3">
        <f t="shared" si="207"/>
        <v>23.691569386344259</v>
      </c>
      <c r="W86" s="3">
        <f t="shared" si="208"/>
        <v>21.504947247292062</v>
      </c>
      <c r="X86" s="3">
        <f t="shared" si="209"/>
        <v>19.407722297131905</v>
      </c>
      <c r="Y86" s="3">
        <f t="shared" si="210"/>
        <v>17.378323397108147</v>
      </c>
      <c r="Z86" s="3">
        <f t="shared" si="211"/>
        <v>15.397945852566782</v>
      </c>
      <c r="AA86" s="3">
        <f t="shared" si="212"/>
        <v>13.450623949855778</v>
      </c>
      <c r="AB86" s="3">
        <f t="shared" si="213"/>
        <v>11.523281310598863</v>
      </c>
      <c r="AC86" s="3">
        <f t="shared" si="214"/>
        <v>9.6057501970896713</v>
      </c>
      <c r="AD86" s="3">
        <f t="shared" si="215"/>
        <v>7.6907367641881068</v>
      </c>
      <c r="AE86" s="3">
        <f t="shared" si="216"/>
        <v>5.7736988679032013</v>
      </c>
      <c r="AF86" s="3">
        <f t="shared" si="217"/>
        <v>3.8525990647600246</v>
      </c>
      <c r="AG86" s="3">
        <f t="shared" si="218"/>
        <v>1.9275014406847573</v>
      </c>
      <c r="AH86" s="3">
        <v>0</v>
      </c>
      <c r="AI86"/>
      <c r="AJ86"/>
      <c r="AK86"/>
      <c r="AL86"/>
      <c r="AO86" s="17"/>
      <c r="AP86" s="3">
        <f t="shared" si="116"/>
        <v>-358800000</v>
      </c>
      <c r="AQ86" s="3">
        <f t="shared" si="117"/>
        <v>-258983325.31533632</v>
      </c>
      <c r="AR86" s="3">
        <f t="shared" si="118"/>
        <v>-239553712.50853041</v>
      </c>
      <c r="AS86" s="3">
        <f t="shared" si="119"/>
        <v>-220912340.47673881</v>
      </c>
      <c r="AT86" s="3">
        <f t="shared" si="120"/>
        <v>-203288772.97420439</v>
      </c>
      <c r="AU86" s="3">
        <f t="shared" si="121"/>
        <v>-186818229.40160713</v>
      </c>
      <c r="AV86" s="3">
        <f t="shared" si="122"/>
        <v>-171553351.96577474</v>
      </c>
      <c r="AW86" s="3">
        <f t="shared" si="123"/>
        <v>-157482223.39392713</v>
      </c>
      <c r="AX86" s="3">
        <f t="shared" si="124"/>
        <v>-144546961.20612448</v>
      </c>
      <c r="AY86" s="3">
        <f t="shared" si="125"/>
        <v>-132659937.66454485</v>
      </c>
      <c r="AZ86" s="3">
        <f t="shared" si="126"/>
        <v>-121716580.60690264</v>
      </c>
      <c r="BA86" s="3">
        <f t="shared" si="127"/>
        <v>-111604790.56697437</v>
      </c>
      <c r="BB86" s="3">
        <f t="shared" si="128"/>
        <v>-102211497.22145095</v>
      </c>
      <c r="BC86" s="3">
        <f t="shared" si="129"/>
        <v>-93427014.579566553</v>
      </c>
      <c r="BD86" s="3">
        <f t="shared" si="130"/>
        <v>-85147815.014179245</v>
      </c>
      <c r="BE86" s="3">
        <f t="shared" si="131"/>
        <v>-77278233.584434733</v>
      </c>
      <c r="BF86" s="3">
        <f t="shared" si="132"/>
        <v>-69731491.496676371</v>
      </c>
      <c r="BG86" s="3">
        <f t="shared" si="133"/>
        <v>-62430314.793129772</v>
      </c>
      <c r="BH86" s="3">
        <f t="shared" si="134"/>
        <v>-55307328.148824178</v>
      </c>
      <c r="BI86" s="3">
        <f t="shared" si="135"/>
        <v>-48305322.862361178</v>
      </c>
      <c r="BJ86" s="3">
        <f t="shared" si="136"/>
        <v>-41377429.286914393</v>
      </c>
      <c r="BK86" s="3">
        <f t="shared" si="137"/>
        <v>-34487164.551243015</v>
      </c>
      <c r="BL86" s="3">
        <f t="shared" si="138"/>
        <v>-27608276.949411094</v>
      </c>
      <c r="BM86" s="3">
        <f t="shared" si="139"/>
        <v>-20724273.530054271</v>
      </c>
      <c r="BN86" s="3">
        <f t="shared" si="140"/>
        <v>-13827506.214557592</v>
      </c>
      <c r="BO86" s="3">
        <f t="shared" si="141"/>
        <v>-6917715.6737884078</v>
      </c>
      <c r="BP86" s="3">
        <f t="shared" si="142"/>
        <v>0</v>
      </c>
      <c r="BW86" s="17"/>
      <c r="BX86" s="3">
        <v>1</v>
      </c>
      <c r="BY86" s="3">
        <f t="shared" si="143"/>
        <v>0.17990274775391865</v>
      </c>
      <c r="BZ86" s="3">
        <f t="shared" si="144"/>
        <v>0.17990274775391865</v>
      </c>
      <c r="CA86" s="3">
        <f t="shared" si="145"/>
        <v>0.17990274775391865</v>
      </c>
      <c r="CB86" s="3">
        <f t="shared" si="146"/>
        <v>0.17990274775391865</v>
      </c>
      <c r="CC86" s="3">
        <f t="shared" si="147"/>
        <v>0.17990274775391865</v>
      </c>
      <c r="CD86" s="3">
        <f t="shared" si="148"/>
        <v>0.17990274775391865</v>
      </c>
      <c r="CE86" s="3">
        <f t="shared" si="149"/>
        <v>0.17990274775391865</v>
      </c>
      <c r="CF86" s="3">
        <f t="shared" si="150"/>
        <v>0.17990274775391865</v>
      </c>
      <c r="CG86" s="3">
        <f t="shared" si="151"/>
        <v>0.17990274775391865</v>
      </c>
      <c r="CH86" s="3">
        <f t="shared" si="152"/>
        <v>0.17990274775391865</v>
      </c>
      <c r="CI86" s="3">
        <f t="shared" si="153"/>
        <v>0.17990274775391865</v>
      </c>
      <c r="CJ86" s="3">
        <f t="shared" si="154"/>
        <v>0.17990274775391865</v>
      </c>
      <c r="CK86" s="3">
        <f t="shared" si="155"/>
        <v>0.17990274775391865</v>
      </c>
      <c r="CL86" s="3">
        <f t="shared" si="156"/>
        <v>0.17990274775391865</v>
      </c>
      <c r="CM86" s="3">
        <f t="shared" si="157"/>
        <v>0.17990274775391865</v>
      </c>
      <c r="CN86" s="3">
        <f t="shared" si="158"/>
        <v>0.17990274775391865</v>
      </c>
      <c r="CO86" s="3">
        <f t="shared" si="159"/>
        <v>0.17990274775391865</v>
      </c>
      <c r="CP86" s="3">
        <f t="shared" si="160"/>
        <v>0.17990274775391865</v>
      </c>
      <c r="CQ86" s="3">
        <f t="shared" si="161"/>
        <v>0.17990274775391865</v>
      </c>
      <c r="CR86" s="3">
        <f t="shared" si="162"/>
        <v>0.17990274775391865</v>
      </c>
      <c r="CS86" s="3">
        <f t="shared" si="163"/>
        <v>0.17990274775391865</v>
      </c>
      <c r="CT86" s="3">
        <f t="shared" si="164"/>
        <v>0.17990274775391865</v>
      </c>
      <c r="CU86" s="3">
        <f t="shared" si="165"/>
        <v>0.17990274775391865</v>
      </c>
      <c r="CV86" s="3">
        <f t="shared" si="166"/>
        <v>0.17990274775391865</v>
      </c>
      <c r="CW86" s="3">
        <f t="shared" si="167"/>
        <v>0.17990274775391865</v>
      </c>
      <c r="CX86" s="3">
        <f t="shared" si="168"/>
        <v>0.17990274775391865</v>
      </c>
      <c r="DE86" s="17"/>
      <c r="DF86" s="3">
        <v>100</v>
      </c>
      <c r="DG86" s="3">
        <f t="shared" si="169"/>
        <v>59.27223238699154</v>
      </c>
      <c r="DH86" s="3">
        <f t="shared" si="170"/>
        <v>54.890301949961149</v>
      </c>
      <c r="DI86" s="3">
        <f t="shared" si="171"/>
        <v>50.68088967921129</v>
      </c>
      <c r="DJ86" s="3">
        <f t="shared" si="172"/>
        <v>46.694944349454481</v>
      </c>
      <c r="DK86" s="3">
        <f t="shared" si="173"/>
        <v>42.9630483789159</v>
      </c>
      <c r="DL86" s="3">
        <f t="shared" si="174"/>
        <v>39.497761286262389</v>
      </c>
      <c r="DM86" s="3">
        <f t="shared" si="175"/>
        <v>36.297373011621382</v>
      </c>
      <c r="DN86" s="3">
        <f t="shared" si="176"/>
        <v>33.349858227879913</v>
      </c>
      <c r="DO86" s="3">
        <f t="shared" si="177"/>
        <v>30.636381657235848</v>
      </c>
      <c r="DP86" s="3">
        <f t="shared" si="178"/>
        <v>28.134106392463945</v>
      </c>
      <c r="DQ86" s="3">
        <f t="shared" si="179"/>
        <v>25.818291953101465</v>
      </c>
      <c r="DR86" s="3">
        <f t="shared" si="180"/>
        <v>23.663779866615705</v>
      </c>
      <c r="DS86" s="3">
        <f t="shared" si="181"/>
        <v>21.646000173081884</v>
      </c>
      <c r="DT86" s="3">
        <f t="shared" si="182"/>
        <v>19.741628681008109</v>
      </c>
      <c r="DU86" s="3">
        <f t="shared" si="183"/>
        <v>17.929004660207433</v>
      </c>
      <c r="DV86" s="3">
        <f t="shared" si="184"/>
        <v>16.18839410068087</v>
      </c>
      <c r="DW86" s="3">
        <f t="shared" si="185"/>
        <v>14.502160175413533</v>
      </c>
      <c r="DX86" s="3">
        <f t="shared" si="186"/>
        <v>12.854881861708652</v>
      </c>
      <c r="DY86" s="3">
        <f t="shared" si="187"/>
        <v>11.233443744211723</v>
      </c>
      <c r="DZ86" s="3">
        <f t="shared" si="188"/>
        <v>9.6271041898900354</v>
      </c>
      <c r="EA86" s="3">
        <f t="shared" si="189"/>
        <v>8.027534857290183</v>
      </c>
      <c r="EB86" s="3">
        <f t="shared" si="190"/>
        <v>6.4288120692098856</v>
      </c>
      <c r="EC86" s="3">
        <f t="shared" si="191"/>
        <v>4.827331183600502</v>
      </c>
      <c r="ED86" s="3">
        <f t="shared" si="192"/>
        <v>3.2216111804744112</v>
      </c>
      <c r="EE86" s="3">
        <f t="shared" si="193"/>
        <v>1.6119615339340791</v>
      </c>
      <c r="EF86" s="3">
        <v>0</v>
      </c>
    </row>
    <row r="87" spans="7:136" x14ac:dyDescent="0.3">
      <c r="G87" s="16"/>
      <c r="H87" s="3">
        <f t="shared" si="113"/>
        <v>100</v>
      </c>
      <c r="I87" s="3">
        <f t="shared" si="194"/>
        <v>72.603433649411812</v>
      </c>
      <c r="J87" s="3">
        <f t="shared" si="195"/>
        <v>67.511898960904304</v>
      </c>
      <c r="K87" s="3">
        <f t="shared" si="196"/>
        <v>62.598776059237181</v>
      </c>
      <c r="L87" s="3">
        <f t="shared" si="197"/>
        <v>57.919628701413387</v>
      </c>
      <c r="M87" s="3">
        <f t="shared" si="198"/>
        <v>53.510185973022814</v>
      </c>
      <c r="N87" s="3">
        <f t="shared" si="199"/>
        <v>49.38781121922883</v>
      </c>
      <c r="O87" s="3">
        <f t="shared" si="200"/>
        <v>45.554571293918968</v>
      </c>
      <c r="P87" s="3">
        <f t="shared" si="201"/>
        <v>42.000814678757621</v>
      </c>
      <c r="Q87" s="3">
        <f t="shared" si="202"/>
        <v>38.708583118571418</v>
      </c>
      <c r="R87" s="3">
        <f t="shared" si="203"/>
        <v>35.654525544433412</v>
      </c>
      <c r="S87" s="3">
        <f t="shared" si="204"/>
        <v>32.812213358758839</v>
      </c>
      <c r="T87" s="3">
        <f t="shared" si="205"/>
        <v>30.153886618111766</v>
      </c>
      <c r="U87" s="3">
        <f t="shared" si="206"/>
        <v>27.65172096824455</v>
      </c>
      <c r="V87" s="3">
        <f t="shared" si="207"/>
        <v>25.278722905401168</v>
      </c>
      <c r="W87" s="3">
        <f t="shared" si="208"/>
        <v>23.009355993143991</v>
      </c>
      <c r="X87" s="3">
        <f t="shared" si="209"/>
        <v>20.819985440942713</v>
      </c>
      <c r="Y87" s="3">
        <f t="shared" si="210"/>
        <v>18.689209616274077</v>
      </c>
      <c r="Z87" s="3">
        <f t="shared" si="211"/>
        <v>16.598127527536217</v>
      </c>
      <c r="AA87" s="3">
        <f t="shared" si="212"/>
        <v>14.530571820156617</v>
      </c>
      <c r="AB87" s="3">
        <f t="shared" si="213"/>
        <v>12.473317128262133</v>
      </c>
      <c r="AC87" s="3">
        <f t="shared" si="214"/>
        <v>10.416253440125407</v>
      </c>
      <c r="AD87" s="3">
        <f t="shared" si="215"/>
        <v>8.3524940271186185</v>
      </c>
      <c r="AE87" s="3">
        <f t="shared" si="216"/>
        <v>6.2783697078831162</v>
      </c>
      <c r="AF87" s="3">
        <f t="shared" si="217"/>
        <v>4.1932504022132058</v>
      </c>
      <c r="AG87" s="3">
        <f t="shared" si="218"/>
        <v>2.0991380733459484</v>
      </c>
      <c r="AH87" s="3">
        <v>0</v>
      </c>
      <c r="AI87"/>
      <c r="AJ87"/>
      <c r="AK87"/>
      <c r="AL87"/>
      <c r="AO87" s="17"/>
      <c r="AP87" s="3">
        <f t="shared" si="116"/>
        <v>-358800000</v>
      </c>
      <c r="AQ87" s="3">
        <f t="shared" si="117"/>
        <v>-260603500.69465563</v>
      </c>
      <c r="AR87" s="3">
        <f t="shared" si="118"/>
        <v>-242408519.34005162</v>
      </c>
      <c r="AS87" s="3">
        <f t="shared" si="119"/>
        <v>-224837006.37495223</v>
      </c>
      <c r="AT87" s="3">
        <f t="shared" si="120"/>
        <v>-208086529.08214849</v>
      </c>
      <c r="AU87" s="3">
        <f t="shared" si="121"/>
        <v>-192286311.35448074</v>
      </c>
      <c r="AV87" s="3">
        <f t="shared" si="122"/>
        <v>-177501278.03263918</v>
      </c>
      <c r="AW87" s="3">
        <f t="shared" si="123"/>
        <v>-163742057.15362257</v>
      </c>
      <c r="AX87" s="3">
        <f t="shared" si="124"/>
        <v>-150977160.71302208</v>
      </c>
      <c r="AY87" s="3">
        <f t="shared" si="125"/>
        <v>-139144883.30621994</v>
      </c>
      <c r="AZ87" s="3">
        <f t="shared" si="126"/>
        <v>-128163636.74588752</v>
      </c>
      <c r="BA87" s="3">
        <f t="shared" si="127"/>
        <v>-117940268.14166622</v>
      </c>
      <c r="BB87" s="3">
        <f t="shared" si="128"/>
        <v>-108376400.41227949</v>
      </c>
      <c r="BC87" s="3">
        <f t="shared" si="129"/>
        <v>-99373075.213099867</v>
      </c>
      <c r="BD87" s="3">
        <f t="shared" si="130"/>
        <v>-90834060.721645936</v>
      </c>
      <c r="BE87" s="3">
        <f t="shared" si="131"/>
        <v>-82668181.212535948</v>
      </c>
      <c r="BF87" s="3">
        <f t="shared" si="132"/>
        <v>-74790977.590777606</v>
      </c>
      <c r="BG87" s="3">
        <f t="shared" si="133"/>
        <v>-67125943.668841943</v>
      </c>
      <c r="BH87" s="3">
        <f t="shared" si="134"/>
        <v>-59605513.906661764</v>
      </c>
      <c r="BI87" s="3">
        <f t="shared" si="135"/>
        <v>-52171908.404995725</v>
      </c>
      <c r="BJ87" s="3">
        <f t="shared" si="136"/>
        <v>-44777870.21835161</v>
      </c>
      <c r="BK87" s="3">
        <f t="shared" si="137"/>
        <v>-37387258.378024518</v>
      </c>
      <c r="BL87" s="3">
        <f t="shared" si="138"/>
        <v>-29975390.170826189</v>
      </c>
      <c r="BM87" s="3">
        <f t="shared" si="139"/>
        <v>-22528966.816157676</v>
      </c>
      <c r="BN87" s="3">
        <f t="shared" si="140"/>
        <v>-15045384.112444233</v>
      </c>
      <c r="BO87" s="3">
        <f t="shared" si="141"/>
        <v>-7531247.211505129</v>
      </c>
      <c r="BP87" s="3">
        <f t="shared" si="142"/>
        <v>0</v>
      </c>
      <c r="BW87" s="17"/>
      <c r="BX87" s="3">
        <v>1</v>
      </c>
      <c r="BY87" s="3">
        <f t="shared" si="143"/>
        <v>0.17990274775391865</v>
      </c>
      <c r="BZ87" s="3">
        <f t="shared" si="144"/>
        <v>0.17990274775391865</v>
      </c>
      <c r="CA87" s="3">
        <f t="shared" si="145"/>
        <v>0.17990274775391865</v>
      </c>
      <c r="CB87" s="3">
        <f t="shared" si="146"/>
        <v>0.17990274775391865</v>
      </c>
      <c r="CC87" s="3">
        <f t="shared" si="147"/>
        <v>0.17990274775391865</v>
      </c>
      <c r="CD87" s="3">
        <f t="shared" si="148"/>
        <v>0.17990274775391865</v>
      </c>
      <c r="CE87" s="3">
        <f t="shared" si="149"/>
        <v>0.17990274775391865</v>
      </c>
      <c r="CF87" s="3">
        <f t="shared" si="150"/>
        <v>0.17990274775391865</v>
      </c>
      <c r="CG87" s="3">
        <f t="shared" si="151"/>
        <v>0.17990274775391865</v>
      </c>
      <c r="CH87" s="3">
        <f t="shared" si="152"/>
        <v>0.17990274775391865</v>
      </c>
      <c r="CI87" s="3">
        <f t="shared" si="153"/>
        <v>0.17990274775391865</v>
      </c>
      <c r="CJ87" s="3">
        <f t="shared" si="154"/>
        <v>0.17990274775391865</v>
      </c>
      <c r="CK87" s="3">
        <f t="shared" si="155"/>
        <v>0.17990274775391865</v>
      </c>
      <c r="CL87" s="3">
        <f t="shared" si="156"/>
        <v>0.17990274775391865</v>
      </c>
      <c r="CM87" s="3">
        <f t="shared" si="157"/>
        <v>0.17990274775391865</v>
      </c>
      <c r="CN87" s="3">
        <f t="shared" si="158"/>
        <v>0.17990274775391865</v>
      </c>
      <c r="CO87" s="3">
        <f t="shared" si="159"/>
        <v>0.17990274775391865</v>
      </c>
      <c r="CP87" s="3">
        <f t="shared" si="160"/>
        <v>0.17990274775391865</v>
      </c>
      <c r="CQ87" s="3">
        <f t="shared" si="161"/>
        <v>0.17990274775391865</v>
      </c>
      <c r="CR87" s="3">
        <f t="shared" si="162"/>
        <v>0.17990274775391865</v>
      </c>
      <c r="CS87" s="3">
        <f t="shared" si="163"/>
        <v>0.17990274775391865</v>
      </c>
      <c r="CT87" s="3">
        <f t="shared" si="164"/>
        <v>0.17990274775391865</v>
      </c>
      <c r="CU87" s="3">
        <f t="shared" si="165"/>
        <v>0.17990274775391865</v>
      </c>
      <c r="CV87" s="3">
        <f t="shared" si="166"/>
        <v>0.17990274775391865</v>
      </c>
      <c r="CW87" s="3">
        <f t="shared" si="167"/>
        <v>0.17990274775391865</v>
      </c>
      <c r="CX87" s="3">
        <f t="shared" si="168"/>
        <v>0.17990274775391865</v>
      </c>
      <c r="DE87" s="17"/>
      <c r="DF87" s="3">
        <v>100</v>
      </c>
      <c r="DG87" s="3">
        <f t="shared" si="169"/>
        <v>59.624486931901906</v>
      </c>
      <c r="DH87" s="3">
        <f t="shared" si="170"/>
        <v>55.511655877600759</v>
      </c>
      <c r="DI87" s="3">
        <f t="shared" si="171"/>
        <v>51.536481813871681</v>
      </c>
      <c r="DJ87" s="3">
        <f t="shared" si="172"/>
        <v>47.74297606942649</v>
      </c>
      <c r="DK87" s="3">
        <f t="shared" si="173"/>
        <v>44.16024303447368</v>
      </c>
      <c r="DL87" s="3">
        <f t="shared" si="174"/>
        <v>40.803245792350445</v>
      </c>
      <c r="DM87" s="3">
        <f t="shared" si="175"/>
        <v>37.674895894209875</v>
      </c>
      <c r="DN87" s="3">
        <f t="shared" si="176"/>
        <v>34.768659614024344</v>
      </c>
      <c r="DO87" s="3">
        <f t="shared" si="177"/>
        <v>32.071142329477546</v>
      </c>
      <c r="DP87" s="3">
        <f t="shared" si="178"/>
        <v>29.564361108886434</v>
      </c>
      <c r="DQ87" s="3">
        <f t="shared" si="179"/>
        <v>27.227594855638852</v>
      </c>
      <c r="DR87" s="3">
        <f t="shared" si="180"/>
        <v>25.03881060926923</v>
      </c>
      <c r="DS87" s="3">
        <f t="shared" si="181"/>
        <v>22.975720437884856</v>
      </c>
      <c r="DT87" s="3">
        <f t="shared" si="182"/>
        <v>21.016544474195214</v>
      </c>
      <c r="DU87" s="3">
        <f t="shared" si="183"/>
        <v>19.140556893053081</v>
      </c>
      <c r="DV87" s="3">
        <f t="shared" si="184"/>
        <v>17.32848287204369</v>
      </c>
      <c r="DW87" s="3">
        <f t="shared" si="185"/>
        <v>15.562801485778108</v>
      </c>
      <c r="DX87" s="3">
        <f t="shared" si="186"/>
        <v>13.827994758893396</v>
      </c>
      <c r="DY87" s="3">
        <f t="shared" si="187"/>
        <v>12.110767612572895</v>
      </c>
      <c r="DZ87" s="3">
        <f t="shared" si="188"/>
        <v>10.400247157344021</v>
      </c>
      <c r="EA87" s="3">
        <f t="shared" si="189"/>
        <v>8.6881525854312294</v>
      </c>
      <c r="EB87" s="3">
        <f t="shared" si="190"/>
        <v>6.9689093509890965</v>
      </c>
      <c r="EC87" s="3">
        <f t="shared" si="191"/>
        <v>5.239665416843641</v>
      </c>
      <c r="ED87" s="3">
        <f t="shared" si="192"/>
        <v>3.5001572444686997</v>
      </c>
      <c r="EE87" s="3">
        <f t="shared" si="193"/>
        <v>1.7523752678671236</v>
      </c>
      <c r="EF87" s="3">
        <v>0</v>
      </c>
    </row>
    <row r="88" spans="7:136" x14ac:dyDescent="0.3">
      <c r="G88" s="16"/>
      <c r="H88" s="3">
        <f t="shared" si="113"/>
        <v>100</v>
      </c>
      <c r="I88" s="3">
        <f t="shared" si="194"/>
        <v>72.955954865749106</v>
      </c>
      <c r="J88" s="3">
        <f t="shared" si="195"/>
        <v>68.136542175208291</v>
      </c>
      <c r="K88" s="3">
        <f t="shared" si="196"/>
        <v>63.464787409715782</v>
      </c>
      <c r="L88" s="3">
        <f t="shared" si="197"/>
        <v>58.98947400150216</v>
      </c>
      <c r="M88" s="3">
        <f t="shared" si="198"/>
        <v>54.74416532320943</v>
      </c>
      <c r="N88" s="3">
        <f t="shared" si="199"/>
        <v>50.747510825343895</v>
      </c>
      <c r="O88" s="3">
        <f t="shared" si="200"/>
        <v>47.004992648802883</v>
      </c>
      <c r="P88" s="3">
        <f t="shared" si="201"/>
        <v>43.511364801649044</v>
      </c>
      <c r="Q88" s="3">
        <f t="shared" si="202"/>
        <v>40.253234748216144</v>
      </c>
      <c r="R88" s="3">
        <f t="shared" si="203"/>
        <v>37.211451943784319</v>
      </c>
      <c r="S88" s="3">
        <f t="shared" si="204"/>
        <v>34.363141601884777</v>
      </c>
      <c r="T88" s="3">
        <f t="shared" si="205"/>
        <v>31.68334061647365</v>
      </c>
      <c r="U88" s="3">
        <f t="shared" si="206"/>
        <v>29.146262658585684</v>
      </c>
      <c r="V88" s="3">
        <f t="shared" si="207"/>
        <v>26.726254120594056</v>
      </c>
      <c r="W88" s="3">
        <f t="shared" si="208"/>
        <v>24.398514357725542</v>
      </c>
      <c r="X88" s="3">
        <f t="shared" si="209"/>
        <v>22.1396520305641</v>
      </c>
      <c r="Y88" s="3">
        <f t="shared" si="210"/>
        <v>19.928140280800253</v>
      </c>
      <c r="Z88" s="3">
        <f t="shared" si="211"/>
        <v>17.744720067352489</v>
      </c>
      <c r="AA88" s="3">
        <f t="shared" si="212"/>
        <v>15.572784240802498</v>
      </c>
      <c r="AB88" s="3">
        <f t="shared" si="213"/>
        <v>13.398754575280783</v>
      </c>
      <c r="AC88" s="3">
        <f t="shared" si="214"/>
        <v>11.212439422764701</v>
      </c>
      <c r="AD88" s="3">
        <f t="shared" si="215"/>
        <v>9.0073311752627703</v>
      </c>
      <c r="AE88" s="3">
        <f t="shared" si="216"/>
        <v>6.7807729810233432</v>
      </c>
      <c r="AF88" s="3">
        <f t="shared" si="217"/>
        <v>4.5339000003614816</v>
      </c>
      <c r="AG88" s="3">
        <f t="shared" si="218"/>
        <v>2.2712541998130416</v>
      </c>
      <c r="AH88" s="3">
        <v>0</v>
      </c>
      <c r="AI88"/>
      <c r="AJ88"/>
      <c r="AK88"/>
      <c r="AL88"/>
      <c r="AO88" s="17"/>
      <c r="AP88" s="3">
        <f t="shared" si="116"/>
        <v>-358800000</v>
      </c>
      <c r="AQ88" s="3">
        <f t="shared" si="117"/>
        <v>-261851141.97997269</v>
      </c>
      <c r="AR88" s="3">
        <f t="shared" si="118"/>
        <v>-244621623.87248549</v>
      </c>
      <c r="AS88" s="3">
        <f t="shared" si="119"/>
        <v>-227909667.28113744</v>
      </c>
      <c r="AT88" s="3">
        <f t="shared" si="120"/>
        <v>-211888296.03768799</v>
      </c>
      <c r="AU88" s="3">
        <f t="shared" si="121"/>
        <v>-196677992.16417408</v>
      </c>
      <c r="AV88" s="3">
        <f t="shared" si="122"/>
        <v>-182347113.82416525</v>
      </c>
      <c r="AW88" s="3">
        <f t="shared" si="123"/>
        <v>-168917486.05540979</v>
      </c>
      <c r="AX88" s="3">
        <f t="shared" si="124"/>
        <v>-156372633.85885534</v>
      </c>
      <c r="AY88" s="3">
        <f t="shared" si="125"/>
        <v>-144666716.04189312</v>
      </c>
      <c r="AZ88" s="3">
        <f t="shared" si="126"/>
        <v>-133732927.98688419</v>
      </c>
      <c r="BA88" s="3">
        <f t="shared" si="127"/>
        <v>-123490745.99323602</v>
      </c>
      <c r="BB88" s="3">
        <f t="shared" si="128"/>
        <v>-113851814.16718911</v>
      </c>
      <c r="BC88" s="3">
        <f t="shared" si="129"/>
        <v>-104724536.95690034</v>
      </c>
      <c r="BD88" s="3">
        <f t="shared" si="130"/>
        <v>-96017576.025344133</v>
      </c>
      <c r="BE88" s="3">
        <f t="shared" si="131"/>
        <v>-87642501.301727742</v>
      </c>
      <c r="BF88" s="3">
        <f t="shared" si="132"/>
        <v>-79515845.997297421</v>
      </c>
      <c r="BG88" s="3">
        <f t="shared" si="133"/>
        <v>-71560785.980399027</v>
      </c>
      <c r="BH88" s="3">
        <f t="shared" si="134"/>
        <v>-63708616.976876318</v>
      </c>
      <c r="BI88" s="3">
        <f t="shared" si="135"/>
        <v>-55900142.959834866</v>
      </c>
      <c r="BJ88" s="3">
        <f t="shared" si="136"/>
        <v>-48087015.790477723</v>
      </c>
      <c r="BK88" s="3">
        <f t="shared" si="137"/>
        <v>-40232978.711967312</v>
      </c>
      <c r="BL88" s="3">
        <f t="shared" si="138"/>
        <v>-32314867.072459314</v>
      </c>
      <c r="BM88" s="3">
        <f t="shared" si="139"/>
        <v>-24323119.719122693</v>
      </c>
      <c r="BN88" s="3">
        <f t="shared" si="140"/>
        <v>-16261479.170446059</v>
      </c>
      <c r="BO88" s="3">
        <f t="shared" si="141"/>
        <v>-8145550.3820455894</v>
      </c>
      <c r="BP88" s="3">
        <f t="shared" si="142"/>
        <v>0</v>
      </c>
      <c r="BW88" s="17"/>
      <c r="BX88" s="3">
        <v>1</v>
      </c>
      <c r="BY88" s="3">
        <f t="shared" si="143"/>
        <v>0.17990274775391865</v>
      </c>
      <c r="BZ88" s="3">
        <f t="shared" si="144"/>
        <v>0.17990274775391865</v>
      </c>
      <c r="CA88" s="3">
        <f t="shared" si="145"/>
        <v>0.17990274775391865</v>
      </c>
      <c r="CB88" s="3">
        <f t="shared" si="146"/>
        <v>0.17990274775391865</v>
      </c>
      <c r="CC88" s="3">
        <f t="shared" si="147"/>
        <v>0.17990274775391865</v>
      </c>
      <c r="CD88" s="3">
        <f t="shared" si="148"/>
        <v>0.17990274775391865</v>
      </c>
      <c r="CE88" s="3">
        <f t="shared" si="149"/>
        <v>0.17990274775391865</v>
      </c>
      <c r="CF88" s="3">
        <f t="shared" si="150"/>
        <v>0.17990274775391865</v>
      </c>
      <c r="CG88" s="3">
        <f t="shared" si="151"/>
        <v>0.17990274775391865</v>
      </c>
      <c r="CH88" s="3">
        <f t="shared" si="152"/>
        <v>0.17990274775391865</v>
      </c>
      <c r="CI88" s="3">
        <f t="shared" si="153"/>
        <v>0.17990274775391865</v>
      </c>
      <c r="CJ88" s="3">
        <f t="shared" si="154"/>
        <v>0.17990274775391865</v>
      </c>
      <c r="CK88" s="3">
        <f t="shared" si="155"/>
        <v>0.17990274775391865</v>
      </c>
      <c r="CL88" s="3">
        <f t="shared" si="156"/>
        <v>0.17990274775391865</v>
      </c>
      <c r="CM88" s="3">
        <f t="shared" si="157"/>
        <v>0.17990274775391865</v>
      </c>
      <c r="CN88" s="3">
        <f t="shared" si="158"/>
        <v>0.17990274775391865</v>
      </c>
      <c r="CO88" s="3">
        <f t="shared" si="159"/>
        <v>0.17990274775391865</v>
      </c>
      <c r="CP88" s="3">
        <f t="shared" si="160"/>
        <v>0.17990274775391865</v>
      </c>
      <c r="CQ88" s="3">
        <f t="shared" si="161"/>
        <v>0.17990274775391865</v>
      </c>
      <c r="CR88" s="3">
        <f t="shared" si="162"/>
        <v>0.17990274775391865</v>
      </c>
      <c r="CS88" s="3">
        <f t="shared" si="163"/>
        <v>0.17990274775391865</v>
      </c>
      <c r="CT88" s="3">
        <f t="shared" si="164"/>
        <v>0.17990274775391865</v>
      </c>
      <c r="CU88" s="3">
        <f t="shared" si="165"/>
        <v>0.17990274775391865</v>
      </c>
      <c r="CV88" s="3">
        <f t="shared" si="166"/>
        <v>0.17990274775391865</v>
      </c>
      <c r="CW88" s="3">
        <f t="shared" si="167"/>
        <v>0.17990274775391865</v>
      </c>
      <c r="CX88" s="3">
        <f t="shared" si="168"/>
        <v>0.17990274775391865</v>
      </c>
      <c r="DE88" s="17"/>
      <c r="DF88" s="3">
        <v>100</v>
      </c>
      <c r="DG88" s="3">
        <f t="shared" si="169"/>
        <v>59.894397655850604</v>
      </c>
      <c r="DH88" s="3">
        <f t="shared" si="170"/>
        <v>55.990966046056677</v>
      </c>
      <c r="DI88" s="3">
        <f t="shared" si="171"/>
        <v>52.203095590626795</v>
      </c>
      <c r="DJ88" s="3">
        <f t="shared" si="172"/>
        <v>48.56957364923116</v>
      </c>
      <c r="DK88" s="3">
        <f t="shared" si="173"/>
        <v>45.117535833839433</v>
      </c>
      <c r="DL88" s="3">
        <f t="shared" si="174"/>
        <v>41.862507881452821</v>
      </c>
      <c r="DM88" s="3">
        <f t="shared" si="175"/>
        <v>38.809600100275077</v>
      </c>
      <c r="DN88" s="3">
        <f t="shared" si="176"/>
        <v>35.955302833037429</v>
      </c>
      <c r="DO88" s="3">
        <f t="shared" si="177"/>
        <v>33.289454283524194</v>
      </c>
      <c r="DP88" s="3">
        <f t="shared" si="178"/>
        <v>30.797104828478467</v>
      </c>
      <c r="DQ88" s="3">
        <f t="shared" si="179"/>
        <v>28.460134258756227</v>
      </c>
      <c r="DR88" s="3">
        <f t="shared" si="180"/>
        <v>26.258573558415225</v>
      </c>
      <c r="DS88" s="3">
        <f t="shared" si="181"/>
        <v>24.171642076273841</v>
      </c>
      <c r="DT88" s="3">
        <f t="shared" si="182"/>
        <v>22.178542410202464</v>
      </c>
      <c r="DU88" s="3">
        <f t="shared" si="183"/>
        <v>20.259067990510843</v>
      </c>
      <c r="DV88" s="3">
        <f t="shared" si="184"/>
        <v>18.394079441541926</v>
      </c>
      <c r="DW88" s="3">
        <f t="shared" si="185"/>
        <v>16.565900117483586</v>
      </c>
      <c r="DX88" s="3">
        <f t="shared" si="186"/>
        <v>14.758671317578768</v>
      </c>
      <c r="DY88" s="3">
        <f t="shared" si="187"/>
        <v>12.958694443920663</v>
      </c>
      <c r="DZ88" s="3">
        <f t="shared" si="188"/>
        <v>11.154770550300409</v>
      </c>
      <c r="EA88" s="3">
        <f t="shared" si="189"/>
        <v>9.3385268075849321</v>
      </c>
      <c r="EB88" s="3">
        <f t="shared" si="190"/>
        <v>7.5046945491859383</v>
      </c>
      <c r="EC88" s="3">
        <f t="shared" si="191"/>
        <v>5.6512770191602026</v>
      </c>
      <c r="ED88" s="3">
        <f t="shared" si="192"/>
        <v>3.7795227309831012</v>
      </c>
      <c r="EE88" s="3">
        <f t="shared" si="193"/>
        <v>1.8936134925032386</v>
      </c>
      <c r="EF88" s="3">
        <v>0</v>
      </c>
    </row>
    <row r="89" spans="7:136" x14ac:dyDescent="0.3">
      <c r="G89" s="16"/>
      <c r="H89" s="3">
        <f t="shared" si="113"/>
        <v>100</v>
      </c>
      <c r="I89" s="3">
        <f t="shared" si="194"/>
        <v>73.219728337619543</v>
      </c>
      <c r="J89" s="3">
        <f t="shared" si="195"/>
        <v>68.607280650962153</v>
      </c>
      <c r="K89" s="3">
        <f t="shared" si="196"/>
        <v>64.124485221974012</v>
      </c>
      <c r="L89" s="3">
        <f t="shared" si="197"/>
        <v>59.815440616947811</v>
      </c>
      <c r="M89" s="3">
        <f t="shared" si="198"/>
        <v>55.711485479359652</v>
      </c>
      <c r="N89" s="3">
        <f t="shared" si="199"/>
        <v>51.83105087898484</v>
      </c>
      <c r="O89" s="3">
        <f t="shared" si="200"/>
        <v>48.180788753469315</v>
      </c>
      <c r="P89" s="3">
        <f t="shared" si="201"/>
        <v>44.757412570621995</v>
      </c>
      <c r="Q89" s="3">
        <f t="shared" si="202"/>
        <v>41.549791561951665</v>
      </c>
      <c r="R89" s="3">
        <f t="shared" si="203"/>
        <v>38.540988178233405</v>
      </c>
      <c r="S89" s="3">
        <f t="shared" si="204"/>
        <v>35.710065368813829</v>
      </c>
      <c r="T89" s="3">
        <f t="shared" si="205"/>
        <v>33.033594320806543</v>
      </c>
      <c r="U89" s="3">
        <f t="shared" si="206"/>
        <v>30.486862111089316</v>
      </c>
      <c r="V89" s="3">
        <f t="shared" si="207"/>
        <v>28.044818581312231</v>
      </c>
      <c r="W89" s="3">
        <f t="shared" si="208"/>
        <v>25.682820976965079</v>
      </c>
      <c r="X89" s="3">
        <f t="shared" si="209"/>
        <v>23.377240726664709</v>
      </c>
      <c r="Y89" s="3">
        <f t="shared" si="210"/>
        <v>21.105994139513395</v>
      </c>
      <c r="Z89" s="3">
        <f t="shared" si="211"/>
        <v>18.849050304718777</v>
      </c>
      <c r="AA89" s="3">
        <f t="shared" si="212"/>
        <v>16.588955480451787</v>
      </c>
      <c r="AB89" s="3">
        <f t="shared" si="213"/>
        <v>14.311392506940651</v>
      </c>
      <c r="AC89" s="3">
        <f t="shared" si="214"/>
        <v>12.005764187111055</v>
      </c>
      <c r="AD89" s="3">
        <f t="shared" si="215"/>
        <v>9.665749644928205</v>
      </c>
      <c r="AE89" s="3">
        <f t="shared" si="216"/>
        <v>7.2897339166270916</v>
      </c>
      <c r="AF89" s="3">
        <f t="shared" si="217"/>
        <v>4.8809616965149791</v>
      </c>
      <c r="AG89" s="3">
        <f t="shared" si="218"/>
        <v>2.4472355775995585</v>
      </c>
      <c r="AH89" s="3">
        <v>0</v>
      </c>
      <c r="AI89"/>
      <c r="AJ89"/>
      <c r="AK89"/>
      <c r="AL89"/>
      <c r="AO89" s="17"/>
      <c r="AP89" s="3">
        <f t="shared" si="116"/>
        <v>-358800000</v>
      </c>
      <c r="AQ89" s="3">
        <f t="shared" si="117"/>
        <v>-262787614.46504766</v>
      </c>
      <c r="AR89" s="3">
        <f t="shared" si="118"/>
        <v>-246294024.63006926</v>
      </c>
      <c r="AS89" s="3">
        <f t="shared" si="119"/>
        <v>-230255603.05573186</v>
      </c>
      <c r="AT89" s="3">
        <f t="shared" si="120"/>
        <v>-214828602.66449112</v>
      </c>
      <c r="AU89" s="3">
        <f t="shared" si="121"/>
        <v>-200125150.3636049</v>
      </c>
      <c r="AV89" s="3">
        <f t="shared" si="122"/>
        <v>-186212273.14288211</v>
      </c>
      <c r="AW89" s="3">
        <f t="shared" si="123"/>
        <v>-173115443.21373126</v>
      </c>
      <c r="AX89" s="3">
        <f t="shared" si="124"/>
        <v>-160824756.2650395</v>
      </c>
      <c r="AY89" s="3">
        <f t="shared" si="125"/>
        <v>-149302147.53074911</v>
      </c>
      <c r="AZ89" s="3">
        <f t="shared" si="126"/>
        <v>-138488529.17496109</v>
      </c>
      <c r="BA89" s="3">
        <f t="shared" si="127"/>
        <v>-128310200.27351902</v>
      </c>
      <c r="BB89" s="3">
        <f t="shared" si="128"/>
        <v>-118684249.14731003</v>
      </c>
      <c r="BC89" s="3">
        <f t="shared" si="129"/>
        <v>-109522919.03377925</v>
      </c>
      <c r="BD89" s="3">
        <f t="shared" si="130"/>
        <v>-100737058.20094034</v>
      </c>
      <c r="BE89" s="3">
        <f t="shared" si="131"/>
        <v>-92238851.18584086</v>
      </c>
      <c r="BF89" s="3">
        <f t="shared" si="132"/>
        <v>-83944053.460244432</v>
      </c>
      <c r="BG89" s="3">
        <f t="shared" si="133"/>
        <v>-75773944.996784016</v>
      </c>
      <c r="BH89" s="3">
        <f t="shared" si="134"/>
        <v>-67657188.244246989</v>
      </c>
      <c r="BI89" s="3">
        <f t="shared" si="135"/>
        <v>-59531724.824895307</v>
      </c>
      <c r="BJ89" s="3">
        <f t="shared" si="136"/>
        <v>-51346769.194777697</v>
      </c>
      <c r="BK89" s="3">
        <f t="shared" si="137"/>
        <v>-43064850.522399671</v>
      </c>
      <c r="BL89" s="3">
        <f t="shared" si="138"/>
        <v>-34663713.107808612</v>
      </c>
      <c r="BM89" s="3">
        <f t="shared" si="139"/>
        <v>-26137719.553645331</v>
      </c>
      <c r="BN89" s="3">
        <f t="shared" si="140"/>
        <v>-17498242.591353301</v>
      </c>
      <c r="BO89" s="3">
        <f t="shared" si="141"/>
        <v>-8772450.8675685115</v>
      </c>
      <c r="BP89" s="3">
        <f t="shared" si="142"/>
        <v>0</v>
      </c>
      <c r="BW89" s="17"/>
      <c r="BX89" s="3">
        <v>1</v>
      </c>
      <c r="BY89" s="3">
        <f t="shared" si="143"/>
        <v>0.17990274775391865</v>
      </c>
      <c r="BZ89" s="3">
        <f t="shared" si="144"/>
        <v>0.17990274775391865</v>
      </c>
      <c r="CA89" s="3">
        <f t="shared" si="145"/>
        <v>0.17990274775391865</v>
      </c>
      <c r="CB89" s="3">
        <f t="shared" si="146"/>
        <v>0.17990274775391865</v>
      </c>
      <c r="CC89" s="3">
        <f t="shared" si="147"/>
        <v>0.17990274775391865</v>
      </c>
      <c r="CD89" s="3">
        <f t="shared" si="148"/>
        <v>0.17990274775391865</v>
      </c>
      <c r="CE89" s="3">
        <f t="shared" si="149"/>
        <v>0.17990274775391865</v>
      </c>
      <c r="CF89" s="3">
        <f t="shared" si="150"/>
        <v>0.17990274775391865</v>
      </c>
      <c r="CG89" s="3">
        <f t="shared" si="151"/>
        <v>0.17990274775391865</v>
      </c>
      <c r="CH89" s="3">
        <f t="shared" si="152"/>
        <v>0.17990274775391865</v>
      </c>
      <c r="CI89" s="3">
        <f t="shared" si="153"/>
        <v>0.17990274775391865</v>
      </c>
      <c r="CJ89" s="3">
        <f t="shared" si="154"/>
        <v>0.17990274775391865</v>
      </c>
      <c r="CK89" s="3">
        <f t="shared" si="155"/>
        <v>0.17990274775391865</v>
      </c>
      <c r="CL89" s="3">
        <f t="shared" si="156"/>
        <v>0.17990274775391865</v>
      </c>
      <c r="CM89" s="3">
        <f t="shared" si="157"/>
        <v>0.17990274775391865</v>
      </c>
      <c r="CN89" s="3">
        <f t="shared" si="158"/>
        <v>0.17990274775391865</v>
      </c>
      <c r="CO89" s="3">
        <f t="shared" si="159"/>
        <v>0.17990274775391865</v>
      </c>
      <c r="CP89" s="3">
        <f t="shared" si="160"/>
        <v>0.17990274775391865</v>
      </c>
      <c r="CQ89" s="3">
        <f t="shared" si="161"/>
        <v>0.17990274775391865</v>
      </c>
      <c r="CR89" s="3">
        <f t="shared" si="162"/>
        <v>0.17990274775391865</v>
      </c>
      <c r="CS89" s="3">
        <f t="shared" si="163"/>
        <v>0.17990274775391865</v>
      </c>
      <c r="CT89" s="3">
        <f t="shared" si="164"/>
        <v>0.17990274775391865</v>
      </c>
      <c r="CU89" s="3">
        <f t="shared" si="165"/>
        <v>0.17990274775391865</v>
      </c>
      <c r="CV89" s="3">
        <f t="shared" si="166"/>
        <v>0.17990274775391865</v>
      </c>
      <c r="CW89" s="3">
        <f t="shared" si="167"/>
        <v>0.17990274775391865</v>
      </c>
      <c r="CX89" s="3">
        <f t="shared" si="168"/>
        <v>0.17990274775391865</v>
      </c>
      <c r="DE89" s="17"/>
      <c r="DF89" s="3">
        <v>100</v>
      </c>
      <c r="DG89" s="3">
        <f t="shared" si="169"/>
        <v>60.094751592260401</v>
      </c>
      <c r="DH89" s="3">
        <f t="shared" si="170"/>
        <v>56.349329491191412</v>
      </c>
      <c r="DI89" s="3">
        <f t="shared" si="171"/>
        <v>52.706995581347847</v>
      </c>
      <c r="DJ89" s="3">
        <f t="shared" si="172"/>
        <v>49.203072155519223</v>
      </c>
      <c r="DK89" s="3">
        <f t="shared" si="173"/>
        <v>45.862859714219482</v>
      </c>
      <c r="DL89" s="3">
        <f t="shared" si="174"/>
        <v>42.701434239833745</v>
      </c>
      <c r="DM89" s="3">
        <f t="shared" si="175"/>
        <v>39.724461417796931</v>
      </c>
      <c r="DN89" s="3">
        <f t="shared" si="176"/>
        <v>36.929598484282195</v>
      </c>
      <c r="DO89" s="3">
        <f t="shared" si="177"/>
        <v>34.308124024764062</v>
      </c>
      <c r="DP89" s="3">
        <f t="shared" si="178"/>
        <v>31.84654572563371</v>
      </c>
      <c r="DQ89" s="3">
        <f t="shared" si="179"/>
        <v>29.528041773177762</v>
      </c>
      <c r="DR89" s="3">
        <f t="shared" si="180"/>
        <v>27.333674285879596</v>
      </c>
      <c r="DS89" s="3">
        <f t="shared" si="181"/>
        <v>25.243369372052317</v>
      </c>
      <c r="DT89" s="3">
        <f t="shared" si="182"/>
        <v>23.236692027847869</v>
      </c>
      <c r="DU89" s="3">
        <f t="shared" si="183"/>
        <v>21.293461202896818</v>
      </c>
      <c r="DV89" s="3">
        <f t="shared" si="184"/>
        <v>19.394256492050602</v>
      </c>
      <c r="DW89" s="3">
        <f t="shared" si="185"/>
        <v>17.520866945371882</v>
      </c>
      <c r="DX89" s="3">
        <f t="shared" si="186"/>
        <v>15.656726406477963</v>
      </c>
      <c r="DY89" s="3">
        <f t="shared" si="187"/>
        <v>13.787368805352497</v>
      </c>
      <c r="DZ89" s="3">
        <f t="shared" si="188"/>
        <v>11.900919742367249</v>
      </c>
      <c r="EA89" s="3">
        <f t="shared" si="189"/>
        <v>9.9886155259313227</v>
      </c>
      <c r="EB89" s="3">
        <f t="shared" si="190"/>
        <v>8.0453060165688992</v>
      </c>
      <c r="EC89" s="3">
        <f t="shared" si="191"/>
        <v>6.0698542254454617</v>
      </c>
      <c r="ED89" s="3">
        <f t="shared" si="192"/>
        <v>4.0653006284084556</v>
      </c>
      <c r="EE89" s="3">
        <f t="shared" si="193"/>
        <v>2.0386307062055646</v>
      </c>
      <c r="EF89" s="3">
        <v>0</v>
      </c>
    </row>
    <row r="90" spans="7:136" x14ac:dyDescent="0.3">
      <c r="G90" s="16"/>
      <c r="H90" s="3">
        <f t="shared" si="113"/>
        <v>100</v>
      </c>
      <c r="I90" s="3">
        <f t="shared" si="194"/>
        <v>73.405117909783669</v>
      </c>
      <c r="J90" s="3">
        <f t="shared" si="195"/>
        <v>68.941419769785483</v>
      </c>
      <c r="K90" s="3">
        <f t="shared" si="196"/>
        <v>64.599812614597425</v>
      </c>
      <c r="L90" s="3">
        <f t="shared" si="197"/>
        <v>60.421765603869268</v>
      </c>
      <c r="M90" s="3">
        <f t="shared" si="198"/>
        <v>56.436722054899377</v>
      </c>
      <c r="N90" s="3">
        <f t="shared" si="199"/>
        <v>52.661960758766234</v>
      </c>
      <c r="O90" s="3">
        <f t="shared" si="200"/>
        <v>49.103631083129962</v>
      </c>
      <c r="P90" s="3">
        <f t="shared" si="201"/>
        <v>45.758439026326755</v>
      </c>
      <c r="Q90" s="3">
        <f t="shared" si="202"/>
        <v>42.615564635993479</v>
      </c>
      <c r="R90" s="3">
        <f t="shared" si="203"/>
        <v>39.658528645918565</v>
      </c>
      <c r="S90" s="3">
        <f t="shared" si="204"/>
        <v>36.866850929575975</v>
      </c>
      <c r="T90" s="3">
        <f t="shared" si="205"/>
        <v>34.217437803056228</v>
      </c>
      <c r="U90" s="3">
        <f t="shared" si="206"/>
        <v>31.685698248511237</v>
      </c>
      <c r="V90" s="3">
        <f t="shared" si="207"/>
        <v>29.246426782362832</v>
      </c>
      <c r="W90" s="3">
        <f t="shared" si="208"/>
        <v>26.874510524430725</v>
      </c>
      <c r="X90" s="3">
        <f t="shared" si="209"/>
        <v>24.545526459417118</v>
      </c>
      <c r="Y90" s="3">
        <f t="shared" si="210"/>
        <v>22.236296159263251</v>
      </c>
      <c r="Z90" s="3">
        <f t="shared" si="211"/>
        <v>19.925461120626387</v>
      </c>
      <c r="AA90" s="3">
        <f t="shared" si="212"/>
        <v>17.594131641071275</v>
      </c>
      <c r="AB90" s="3">
        <f t="shared" si="213"/>
        <v>15.226642693940807</v>
      </c>
      <c r="AC90" s="3">
        <f t="shared" si="214"/>
        <v>12.811416477278582</v>
      </c>
      <c r="AD90" s="3">
        <f t="shared" si="215"/>
        <v>10.34187748009013</v>
      </c>
      <c r="AE90" s="3">
        <f t="shared" si="216"/>
        <v>7.8172889463423214</v>
      </c>
      <c r="AF90" s="3">
        <f t="shared" si="217"/>
        <v>5.2432856262051111</v>
      </c>
      <c r="AG90" s="3">
        <f t="shared" si="218"/>
        <v>2.6317924785859099</v>
      </c>
      <c r="AH90" s="3">
        <v>0</v>
      </c>
      <c r="AI90"/>
      <c r="AJ90"/>
      <c r="AK90"/>
      <c r="AL90"/>
      <c r="AO90" s="17"/>
      <c r="AP90" s="3">
        <f t="shared" si="116"/>
        <v>-358800000</v>
      </c>
      <c r="AQ90" s="3">
        <f t="shared" si="117"/>
        <v>-263448690.54089239</v>
      </c>
      <c r="AR90" s="3">
        <f t="shared" si="118"/>
        <v>-247485752.18504485</v>
      </c>
      <c r="AS90" s="3">
        <f t="shared" si="119"/>
        <v>-231951401.2183212</v>
      </c>
      <c r="AT90" s="3">
        <f t="shared" si="120"/>
        <v>-216992582.79901883</v>
      </c>
      <c r="AU90" s="3">
        <f t="shared" si="121"/>
        <v>-202714637.34528363</v>
      </c>
      <c r="AV90" s="3">
        <f t="shared" si="122"/>
        <v>-189180377.56145281</v>
      </c>
      <c r="AW90" s="3">
        <f t="shared" si="123"/>
        <v>-176413333.72665292</v>
      </c>
      <c r="AX90" s="3">
        <f t="shared" si="124"/>
        <v>-164403412.36690691</v>
      </c>
      <c r="AY90" s="3">
        <f t="shared" si="125"/>
        <v>-153113504.42889217</v>
      </c>
      <c r="AZ90" s="3">
        <f t="shared" si="126"/>
        <v>-142486025.61104226</v>
      </c>
      <c r="BA90" s="3">
        <f t="shared" si="127"/>
        <v>-132448799.37258574</v>
      </c>
      <c r="BB90" s="3">
        <f t="shared" si="128"/>
        <v>-122920028.60765009</v>
      </c>
      <c r="BC90" s="3">
        <f t="shared" si="129"/>
        <v>-113812332.45893574</v>
      </c>
      <c r="BD90" s="3">
        <f t="shared" si="130"/>
        <v>-105035966.34363756</v>
      </c>
      <c r="BE90" s="3">
        <f t="shared" si="131"/>
        <v>-96501420.262198031</v>
      </c>
      <c r="BF90" s="3">
        <f t="shared" si="132"/>
        <v>-88121624.688393325</v>
      </c>
      <c r="BG90" s="3">
        <f t="shared" si="133"/>
        <v>-79813999.603513554</v>
      </c>
      <c r="BH90" s="3">
        <f t="shared" si="134"/>
        <v>-71502566.820908874</v>
      </c>
      <c r="BI90" s="3">
        <f t="shared" si="135"/>
        <v>-63120306.19796934</v>
      </c>
      <c r="BJ90" s="3">
        <f t="shared" si="136"/>
        <v>-54611862.022769123</v>
      </c>
      <c r="BK90" s="3">
        <f t="shared" si="137"/>
        <v>-45936580.060870692</v>
      </c>
      <c r="BL90" s="3">
        <f t="shared" si="138"/>
        <v>-37071661.318613656</v>
      </c>
      <c r="BM90" s="3">
        <f t="shared" si="139"/>
        <v>-28014950.735628542</v>
      </c>
      <c r="BN90" s="3">
        <f t="shared" si="140"/>
        <v>-18786568.785195969</v>
      </c>
      <c r="BO90" s="3">
        <f t="shared" si="141"/>
        <v>-9428342.2922805753</v>
      </c>
      <c r="BP90" s="3">
        <f t="shared" si="142"/>
        <v>0</v>
      </c>
      <c r="BW90" s="17"/>
      <c r="BX90" s="3">
        <v>1</v>
      </c>
      <c r="BY90" s="3">
        <f t="shared" si="143"/>
        <v>0.17990274775391865</v>
      </c>
      <c r="BZ90" s="3">
        <f t="shared" si="144"/>
        <v>0.17990274775391865</v>
      </c>
      <c r="CA90" s="3">
        <f t="shared" si="145"/>
        <v>0.17990274775391865</v>
      </c>
      <c r="CB90" s="3">
        <f t="shared" si="146"/>
        <v>0.17990274775391865</v>
      </c>
      <c r="CC90" s="3">
        <f t="shared" si="147"/>
        <v>0.17990274775391865</v>
      </c>
      <c r="CD90" s="3">
        <f t="shared" si="148"/>
        <v>0.17990274775391865</v>
      </c>
      <c r="CE90" s="3">
        <f t="shared" si="149"/>
        <v>0.17990274775391865</v>
      </c>
      <c r="CF90" s="3">
        <f t="shared" si="150"/>
        <v>0.17990274775391865</v>
      </c>
      <c r="CG90" s="3">
        <f t="shared" si="151"/>
        <v>0.17990274775391865</v>
      </c>
      <c r="CH90" s="3">
        <f t="shared" si="152"/>
        <v>0.17990274775391865</v>
      </c>
      <c r="CI90" s="3">
        <f t="shared" si="153"/>
        <v>0.17990274775391865</v>
      </c>
      <c r="CJ90" s="3">
        <f t="shared" si="154"/>
        <v>0.17990274775391865</v>
      </c>
      <c r="CK90" s="3">
        <f t="shared" si="155"/>
        <v>0.17990274775391865</v>
      </c>
      <c r="CL90" s="3">
        <f t="shared" si="156"/>
        <v>0.17990274775391865</v>
      </c>
      <c r="CM90" s="3">
        <f t="shared" si="157"/>
        <v>0.17990274775391865</v>
      </c>
      <c r="CN90" s="3">
        <f t="shared" si="158"/>
        <v>0.17990274775391865</v>
      </c>
      <c r="CO90" s="3">
        <f t="shared" si="159"/>
        <v>0.17990274775391865</v>
      </c>
      <c r="CP90" s="3">
        <f t="shared" si="160"/>
        <v>0.17990274775391865</v>
      </c>
      <c r="CQ90" s="3">
        <f t="shared" si="161"/>
        <v>0.17990274775391865</v>
      </c>
      <c r="CR90" s="3">
        <f t="shared" si="162"/>
        <v>0.17990274775391865</v>
      </c>
      <c r="CS90" s="3">
        <f t="shared" si="163"/>
        <v>0.17990274775391865</v>
      </c>
      <c r="CT90" s="3">
        <f t="shared" si="164"/>
        <v>0.17990274775391865</v>
      </c>
      <c r="CU90" s="3">
        <f t="shared" si="165"/>
        <v>0.17990274775391865</v>
      </c>
      <c r="CV90" s="3">
        <f t="shared" si="166"/>
        <v>0.17990274775391865</v>
      </c>
      <c r="CW90" s="3">
        <f t="shared" si="167"/>
        <v>0.17990274775391865</v>
      </c>
      <c r="CX90" s="3">
        <f t="shared" si="168"/>
        <v>0.17990274775391865</v>
      </c>
      <c r="DE90" s="17"/>
      <c r="DF90" s="3">
        <v>100</v>
      </c>
      <c r="DG90" s="3">
        <f t="shared" si="169"/>
        <v>60.232687592050453</v>
      </c>
      <c r="DH90" s="3">
        <f t="shared" si="170"/>
        <v>56.598781464753131</v>
      </c>
      <c r="DI90" s="3">
        <f t="shared" si="171"/>
        <v>53.063641524858745</v>
      </c>
      <c r="DJ90" s="3">
        <f t="shared" si="172"/>
        <v>49.660803478769004</v>
      </c>
      <c r="DK90" s="3">
        <f t="shared" si="173"/>
        <v>46.414072735710036</v>
      </c>
      <c r="DL90" s="3">
        <f t="shared" si="174"/>
        <v>43.337412286663699</v>
      </c>
      <c r="DM90" s="3">
        <f t="shared" si="175"/>
        <v>40.43577479742973</v>
      </c>
      <c r="DN90" s="3">
        <f t="shared" si="176"/>
        <v>37.706457522516075</v>
      </c>
      <c r="DO90" s="3">
        <f t="shared" si="177"/>
        <v>35.140642965395791</v>
      </c>
      <c r="DP90" s="3">
        <f t="shared" si="178"/>
        <v>32.72489897150308</v>
      </c>
      <c r="DQ90" s="3">
        <f t="shared" si="179"/>
        <v>30.442512047254315</v>
      </c>
      <c r="DR90" s="3">
        <f t="shared" si="180"/>
        <v>28.274603416554893</v>
      </c>
      <c r="DS90" s="3">
        <f t="shared" si="181"/>
        <v>26.201027984331436</v>
      </c>
      <c r="DT90" s="3">
        <f t="shared" si="182"/>
        <v>24.201086859324608</v>
      </c>
      <c r="DU90" s="3">
        <f t="shared" si="183"/>
        <v>22.254100460602725</v>
      </c>
      <c r="DV90" s="3">
        <f t="shared" si="184"/>
        <v>20.339896617785325</v>
      </c>
      <c r="DW90" s="3">
        <f t="shared" si="185"/>
        <v>18.439269819486686</v>
      </c>
      <c r="DX90" s="3">
        <f t="shared" si="186"/>
        <v>16.53446517825564</v>
      </c>
      <c r="DY90" s="3">
        <f t="shared" si="187"/>
        <v>14.609732967770572</v>
      </c>
      <c r="DZ90" s="3">
        <f t="shared" si="188"/>
        <v>12.651983857757342</v>
      </c>
      <c r="EA90" s="3">
        <f t="shared" si="189"/>
        <v>10.651546511131713</v>
      </c>
      <c r="EB90" s="3">
        <f t="shared" si="190"/>
        <v>8.6029825598660814</v>
      </c>
      <c r="EC90" s="3">
        <f t="shared" si="191"/>
        <v>6.5058457843461719</v>
      </c>
      <c r="ED90" s="3">
        <f t="shared" si="192"/>
        <v>4.3651872053204377</v>
      </c>
      <c r="EE90" s="3">
        <f t="shared" si="193"/>
        <v>2.191528073774601</v>
      </c>
      <c r="EF90" s="3">
        <v>0</v>
      </c>
    </row>
    <row r="91" spans="7:136" x14ac:dyDescent="0.3">
      <c r="G91" s="16"/>
      <c r="H91" s="3">
        <f t="shared" si="113"/>
        <v>100</v>
      </c>
      <c r="I91" s="3">
        <f t="shared" si="194"/>
        <v>73.516397295072665</v>
      </c>
      <c r="J91" s="3">
        <f t="shared" si="195"/>
        <v>69.146423538269019</v>
      </c>
      <c r="K91" s="3">
        <f t="shared" si="196"/>
        <v>64.900851891337169</v>
      </c>
      <c r="L91" s="3">
        <f t="shared" si="197"/>
        <v>60.820445713003132</v>
      </c>
      <c r="M91" s="3">
        <f t="shared" si="198"/>
        <v>56.933067871541787</v>
      </c>
      <c r="N91" s="3">
        <f t="shared" si="199"/>
        <v>53.253994241853974</v>
      </c>
      <c r="O91" s="3">
        <f t="shared" si="200"/>
        <v>49.787343782857604</v>
      </c>
      <c r="P91" s="3">
        <f t="shared" si="201"/>
        <v>46.528017265204035</v>
      </c>
      <c r="Q91" s="3">
        <f t="shared" si="202"/>
        <v>43.46372078553371</v>
      </c>
      <c r="R91" s="3">
        <f t="shared" si="203"/>
        <v>40.576825337061393</v>
      </c>
      <c r="S91" s="3">
        <f t="shared" si="204"/>
        <v>37.845946791101724</v>
      </c>
      <c r="T91" s="3">
        <f t="shared" si="205"/>
        <v>35.247218982848644</v>
      </c>
      <c r="U91" s="3">
        <f t="shared" si="206"/>
        <v>32.755285368625849</v>
      </c>
      <c r="V91" s="3">
        <f t="shared" si="207"/>
        <v>30.344063399542897</v>
      </c>
      <c r="W91" s="3">
        <f t="shared" si="208"/>
        <v>27.987350103491586</v>
      </c>
      <c r="X91" s="3">
        <f t="shared" si="209"/>
        <v>25.659344274593245</v>
      </c>
      <c r="Y91" s="3">
        <f t="shared" si="210"/>
        <v>23.335164069028053</v>
      </c>
      <c r="Z91" s="3">
        <f t="shared" si="211"/>
        <v>20.991439753253665</v>
      </c>
      <c r="AA91" s="3">
        <f t="shared" si="212"/>
        <v>18.607057847301089</v>
      </c>
      <c r="AB91" s="3">
        <f t="shared" si="213"/>
        <v>16.164119392522263</v>
      </c>
      <c r="AC91" s="3">
        <f t="shared" si="214"/>
        <v>13.649141870456072</v>
      </c>
      <c r="AD91" s="3">
        <f t="shared" si="215"/>
        <v>11.054467901770295</v>
      </c>
      <c r="AE91" s="3">
        <f t="shared" si="216"/>
        <v>8.3797300361509937</v>
      </c>
      <c r="AF91" s="3">
        <f t="shared" si="217"/>
        <v>5.6330541580545592</v>
      </c>
      <c r="AG91" s="3">
        <f t="shared" si="218"/>
        <v>2.8314877741148301</v>
      </c>
      <c r="AH91" s="3">
        <v>0</v>
      </c>
      <c r="AI91"/>
      <c r="AJ91"/>
      <c r="AK91"/>
      <c r="AL91"/>
      <c r="AO91" s="17"/>
      <c r="AP91" s="3">
        <f t="shared" si="116"/>
        <v>-358800000</v>
      </c>
      <c r="AQ91" s="3">
        <f t="shared" si="117"/>
        <v>-263849391.98556772</v>
      </c>
      <c r="AR91" s="3">
        <f t="shared" si="118"/>
        <v>-248223063.19400412</v>
      </c>
      <c r="AS91" s="3">
        <f t="shared" si="119"/>
        <v>-233032590.65633762</v>
      </c>
      <c r="AT91" s="3">
        <f t="shared" si="120"/>
        <v>-218422616.72083926</v>
      </c>
      <c r="AU91" s="3">
        <f t="shared" si="121"/>
        <v>-204493196.76456425</v>
      </c>
      <c r="AV91" s="3">
        <f t="shared" si="122"/>
        <v>-191300313.65061507</v>
      </c>
      <c r="AW91" s="3">
        <f t="shared" si="123"/>
        <v>-178860452.35061631</v>
      </c>
      <c r="AX91" s="3">
        <f t="shared" si="124"/>
        <v>-167157151.54256141</v>
      </c>
      <c r="AY91" s="3">
        <f t="shared" si="125"/>
        <v>-156148017.25916824</v>
      </c>
      <c r="AZ91" s="3">
        <f t="shared" si="126"/>
        <v>-145771274.01472494</v>
      </c>
      <c r="BA91" s="3">
        <f t="shared" si="127"/>
        <v>-135951399.11346641</v>
      </c>
      <c r="BB91" s="3">
        <f t="shared" si="128"/>
        <v>-126603708.99271885</v>
      </c>
      <c r="BC91" s="3">
        <f t="shared" si="129"/>
        <v>-117637965.61788419</v>
      </c>
      <c r="BD91" s="3">
        <f t="shared" si="130"/>
        <v>-108961182.79592477</v>
      </c>
      <c r="BE91" s="3">
        <f t="shared" si="131"/>
        <v>-100479870.27710652</v>
      </c>
      <c r="BF91" s="3">
        <f t="shared" si="132"/>
        <v>-92101982.062744781</v>
      </c>
      <c r="BG91" s="3">
        <f t="shared" si="133"/>
        <v>-83738848.499207273</v>
      </c>
      <c r="BH91" s="3">
        <f t="shared" si="134"/>
        <v>-75307373.113715366</v>
      </c>
      <c r="BI91" s="3">
        <f t="shared" si="135"/>
        <v>-66732757.168261245</v>
      </c>
      <c r="BJ91" s="3">
        <f t="shared" si="136"/>
        <v>-57951957.347159624</v>
      </c>
      <c r="BK91" s="3">
        <f t="shared" si="137"/>
        <v>-48917950.920678608</v>
      </c>
      <c r="BL91" s="3">
        <f t="shared" si="138"/>
        <v>-39604633.494514666</v>
      </c>
      <c r="BM91" s="3">
        <f t="shared" si="139"/>
        <v>-30011765.945112005</v>
      </c>
      <c r="BN91" s="3">
        <f t="shared" si="140"/>
        <v>-20168818.863697011</v>
      </c>
      <c r="BO91" s="3">
        <f t="shared" si="141"/>
        <v>-10135947.503269665</v>
      </c>
      <c r="BP91" s="3">
        <f t="shared" si="142"/>
        <v>0</v>
      </c>
      <c r="BW91" s="17"/>
      <c r="BX91" s="3">
        <v>1</v>
      </c>
      <c r="BY91" s="3">
        <f t="shared" si="143"/>
        <v>0.17990274775391865</v>
      </c>
      <c r="BZ91" s="3">
        <f t="shared" si="144"/>
        <v>0.17990274775391865</v>
      </c>
      <c r="CA91" s="3">
        <f t="shared" si="145"/>
        <v>0.17990274775391865</v>
      </c>
      <c r="CB91" s="3">
        <f t="shared" si="146"/>
        <v>0.17990274775391865</v>
      </c>
      <c r="CC91" s="3">
        <f t="shared" si="147"/>
        <v>0.17990274775391865</v>
      </c>
      <c r="CD91" s="3">
        <f t="shared" si="148"/>
        <v>0.17990274775391865</v>
      </c>
      <c r="CE91" s="3">
        <f t="shared" si="149"/>
        <v>0.17990274775391865</v>
      </c>
      <c r="CF91" s="3">
        <f t="shared" si="150"/>
        <v>0.17990274775391865</v>
      </c>
      <c r="CG91" s="3">
        <f t="shared" si="151"/>
        <v>0.17990274775391865</v>
      </c>
      <c r="CH91" s="3">
        <f t="shared" si="152"/>
        <v>0.17990274775391865</v>
      </c>
      <c r="CI91" s="3">
        <f t="shared" si="153"/>
        <v>0.17990274775391865</v>
      </c>
      <c r="CJ91" s="3">
        <f t="shared" si="154"/>
        <v>0.17990274775391865</v>
      </c>
      <c r="CK91" s="3">
        <f t="shared" si="155"/>
        <v>0.17990274775391865</v>
      </c>
      <c r="CL91" s="3">
        <f t="shared" si="156"/>
        <v>0.17990274775391865</v>
      </c>
      <c r="CM91" s="3">
        <f t="shared" si="157"/>
        <v>0.17990274775391865</v>
      </c>
      <c r="CN91" s="3">
        <f t="shared" si="158"/>
        <v>0.17990274775391865</v>
      </c>
      <c r="CO91" s="3">
        <f t="shared" si="159"/>
        <v>0.17990274775391865</v>
      </c>
      <c r="CP91" s="3">
        <f t="shared" si="160"/>
        <v>0.17990274775391865</v>
      </c>
      <c r="CQ91" s="3">
        <f t="shared" si="161"/>
        <v>0.17990274775391865</v>
      </c>
      <c r="CR91" s="3">
        <f t="shared" si="162"/>
        <v>0.17990274775391865</v>
      </c>
      <c r="CS91" s="3">
        <f t="shared" si="163"/>
        <v>0.17990274775391865</v>
      </c>
      <c r="CT91" s="3">
        <f t="shared" si="164"/>
        <v>0.17990274775391865</v>
      </c>
      <c r="CU91" s="3">
        <f t="shared" si="165"/>
        <v>0.17990274775391865</v>
      </c>
      <c r="CV91" s="3">
        <f t="shared" si="166"/>
        <v>0.17990274775391865</v>
      </c>
      <c r="CW91" s="3">
        <f t="shared" si="167"/>
        <v>0.17990274775391865</v>
      </c>
      <c r="CX91" s="3">
        <f t="shared" si="168"/>
        <v>0.17990274775391865</v>
      </c>
      <c r="DE91" s="17"/>
      <c r="DF91" s="3">
        <v>100</v>
      </c>
      <c r="DG91" s="3">
        <f t="shared" si="169"/>
        <v>60.31061488390219</v>
      </c>
      <c r="DH91" s="3">
        <f t="shared" si="170"/>
        <v>56.743672687628276</v>
      </c>
      <c r="DI91" s="3">
        <f t="shared" si="171"/>
        <v>53.279168097582833</v>
      </c>
      <c r="DJ91" s="3">
        <f t="shared" si="172"/>
        <v>49.950404056723841</v>
      </c>
      <c r="DK91" s="3">
        <f t="shared" si="173"/>
        <v>46.779946499641206</v>
      </c>
      <c r="DL91" s="3">
        <f t="shared" si="174"/>
        <v>43.779962799242888</v>
      </c>
      <c r="DM91" s="3">
        <f t="shared" si="175"/>
        <v>40.953465626307796</v>
      </c>
      <c r="DN91" s="3">
        <f t="shared" si="176"/>
        <v>38.295948351437708</v>
      </c>
      <c r="DO91" s="3">
        <f t="shared" si="177"/>
        <v>35.79706361043376</v>
      </c>
      <c r="DP91" s="3">
        <f t="shared" si="178"/>
        <v>33.442147061783146</v>
      </c>
      <c r="DQ91" s="3">
        <f t="shared" si="179"/>
        <v>31.213499007836894</v>
      </c>
      <c r="DR91" s="3">
        <f t="shared" si="180"/>
        <v>29.09140790098002</v>
      </c>
      <c r="DS91" s="3">
        <f t="shared" si="181"/>
        <v>27.054941189217153</v>
      </c>
      <c r="DT91" s="3">
        <f t="shared" si="182"/>
        <v>25.082550859412024</v>
      </c>
      <c r="DU91" s="3">
        <f t="shared" si="183"/>
        <v>23.152551815604895</v>
      </c>
      <c r="DV91" s="3">
        <f t="shared" si="184"/>
        <v>21.243536619477592</v>
      </c>
      <c r="DW91" s="3">
        <f t="shared" si="185"/>
        <v>19.334793290106688</v>
      </c>
      <c r="DX91" s="3">
        <f t="shared" si="186"/>
        <v>17.406794547389104</v>
      </c>
      <c r="DY91" s="3">
        <f t="shared" si="187"/>
        <v>15.441825220728203</v>
      </c>
      <c r="DZ91" s="3">
        <f t="shared" si="188"/>
        <v>13.424804532815182</v>
      </c>
      <c r="EA91" s="3">
        <f t="shared" si="189"/>
        <v>11.344332843573826</v>
      </c>
      <c r="EB91" s="3">
        <f t="shared" si="190"/>
        <v>9.1939357261677088</v>
      </c>
      <c r="EC91" s="3">
        <f t="shared" si="191"/>
        <v>6.9733782747176738</v>
      </c>
      <c r="ED91" s="3">
        <f t="shared" si="192"/>
        <v>4.6897726666416339</v>
      </c>
      <c r="EE91" s="3">
        <f t="shared" si="193"/>
        <v>2.3580210756991287</v>
      </c>
      <c r="EF91" s="3">
        <v>0</v>
      </c>
    </row>
    <row r="92" spans="7:136" x14ac:dyDescent="0.3">
      <c r="G92" s="16"/>
      <c r="H92" s="3">
        <f t="shared" si="113"/>
        <v>100</v>
      </c>
      <c r="I92" s="3">
        <f t="shared" si="194"/>
        <v>73.552075474308054</v>
      </c>
      <c r="J92" s="3">
        <f t="shared" si="195"/>
        <v>69.220460769136324</v>
      </c>
      <c r="K92" s="3">
        <f t="shared" si="196"/>
        <v>65.026498066870218</v>
      </c>
      <c r="L92" s="3">
        <f t="shared" si="197"/>
        <v>61.011929298991816</v>
      </c>
      <c r="M92" s="3">
        <f t="shared" si="198"/>
        <v>57.202949981479094</v>
      </c>
      <c r="N92" s="3">
        <f t="shared" si="199"/>
        <v>53.611610858743049</v>
      </c>
      <c r="O92" s="3">
        <f t="shared" si="200"/>
        <v>50.238222787247182</v>
      </c>
      <c r="P92" s="3">
        <f t="shared" si="201"/>
        <v>47.073969659011169</v>
      </c>
      <c r="Q92" s="3">
        <f t="shared" si="202"/>
        <v>44.103295078442407</v>
      </c>
      <c r="R92" s="3">
        <f t="shared" si="203"/>
        <v>41.305880953683484</v>
      </c>
      <c r="S92" s="3">
        <f t="shared" si="204"/>
        <v>38.658185125145245</v>
      </c>
      <c r="T92" s="3">
        <f t="shared" si="205"/>
        <v>36.134580946498922</v>
      </c>
      <c r="U92" s="3">
        <f t="shared" si="206"/>
        <v>33.70817402031205</v>
      </c>
      <c r="V92" s="3">
        <f t="shared" si="207"/>
        <v>31.351381663397095</v>
      </c>
      <c r="W92" s="3">
        <f t="shared" si="208"/>
        <v>29.036362739304774</v>
      </c>
      <c r="X92" s="3">
        <f t="shared" si="209"/>
        <v>26.735386951541418</v>
      </c>
      <c r="Y92" s="3">
        <f t="shared" si="210"/>
        <v>24.421237209275198</v>
      </c>
      <c r="Z92" s="3">
        <f t="shared" si="211"/>
        <v>22.067746793363106</v>
      </c>
      <c r="AA92" s="3">
        <f t="shared" si="212"/>
        <v>19.650581910699163</v>
      </c>
      <c r="AB92" s="3">
        <f t="shared" si="213"/>
        <v>17.148382117474078</v>
      </c>
      <c r="AC92" s="3">
        <f t="shared" si="214"/>
        <v>14.544350913645657</v>
      </c>
      <c r="AD92" s="3">
        <f t="shared" si="215"/>
        <v>11.828321306470905</v>
      </c>
      <c r="AE92" s="3">
        <f t="shared" si="216"/>
        <v>8.9991706036084729</v>
      </c>
      <c r="AF92" s="3">
        <f t="shared" si="217"/>
        <v>6.0671877000355092</v>
      </c>
      <c r="AG92" s="3">
        <f t="shared" si="218"/>
        <v>3.0555962552702223</v>
      </c>
      <c r="AH92" s="3">
        <v>0</v>
      </c>
      <c r="AI92"/>
      <c r="AJ92"/>
      <c r="AK92"/>
      <c r="AL92"/>
      <c r="AO92" s="17"/>
      <c r="AP92" s="3">
        <f t="shared" si="116"/>
        <v>-358800000</v>
      </c>
      <c r="AQ92" s="3">
        <f t="shared" si="117"/>
        <v>-263985111.60428739</v>
      </c>
      <c r="AR92" s="3">
        <f t="shared" si="118"/>
        <v>-248500316.66794309</v>
      </c>
      <c r="AS92" s="3">
        <f t="shared" si="119"/>
        <v>-233495960.67976803</v>
      </c>
      <c r="AT92" s="3">
        <f t="shared" si="120"/>
        <v>-219120728.35092366</v>
      </c>
      <c r="AU92" s="3">
        <f t="shared" si="121"/>
        <v>-205469620.80732313</v>
      </c>
      <c r="AV92" s="3">
        <f t="shared" si="122"/>
        <v>-192587933.05586249</v>
      </c>
      <c r="AW92" s="3">
        <f t="shared" si="123"/>
        <v>-180479126.47826958</v>
      </c>
      <c r="AX92" s="3">
        <f t="shared" si="124"/>
        <v>-169113766.56319779</v>
      </c>
      <c r="AY92" s="3">
        <f t="shared" si="125"/>
        <v>-158437888.11746219</v>
      </c>
      <c r="AZ92" s="3">
        <f t="shared" si="126"/>
        <v>-148380044.9099617</v>
      </c>
      <c r="BA92" s="3">
        <f t="shared" si="127"/>
        <v>-138856856.70746848</v>
      </c>
      <c r="BB92" s="3">
        <f t="shared" si="128"/>
        <v>-129777164.45050851</v>
      </c>
      <c r="BC92" s="3">
        <f t="shared" si="129"/>
        <v>-121045040.50536793</v>
      </c>
      <c r="BD92" s="3">
        <f t="shared" si="130"/>
        <v>-112561951.55805315</v>
      </c>
      <c r="BE92" s="3">
        <f t="shared" si="131"/>
        <v>-104228386.92163296</v>
      </c>
      <c r="BF92" s="3">
        <f t="shared" si="132"/>
        <v>-95945273.985806704</v>
      </c>
      <c r="BG92" s="3">
        <f t="shared" si="133"/>
        <v>-87615519.195926949</v>
      </c>
      <c r="BH92" s="3">
        <f t="shared" si="134"/>
        <v>-79146038.974397168</v>
      </c>
      <c r="BI92" s="3">
        <f t="shared" si="135"/>
        <v>-70450668.815868765</v>
      </c>
      <c r="BJ92" s="3">
        <f t="shared" si="136"/>
        <v>-61454330.592382751</v>
      </c>
      <c r="BK92" s="3">
        <f t="shared" si="137"/>
        <v>-52098741.867458008</v>
      </c>
      <c r="BL92" s="3">
        <f t="shared" si="138"/>
        <v>-42349677.620381892</v>
      </c>
      <c r="BM92" s="3">
        <f t="shared" si="139"/>
        <v>-32205227.611417662</v>
      </c>
      <c r="BN92" s="3">
        <f t="shared" si="140"/>
        <v>-21703530.575322554</v>
      </c>
      <c r="BO92" s="3">
        <f t="shared" si="141"/>
        <v>-10927147.98603675</v>
      </c>
      <c r="BP92" s="3">
        <f t="shared" si="142"/>
        <v>0</v>
      </c>
      <c r="BW92" s="17"/>
      <c r="BX92" s="3">
        <v>1</v>
      </c>
      <c r="BY92" s="3">
        <f t="shared" si="143"/>
        <v>0.17990274775391865</v>
      </c>
      <c r="BZ92" s="3">
        <f t="shared" si="144"/>
        <v>0.17990274775391865</v>
      </c>
      <c r="CA92" s="3">
        <f t="shared" si="145"/>
        <v>0.17990274775391865</v>
      </c>
      <c r="CB92" s="3">
        <f t="shared" si="146"/>
        <v>0.17990274775391865</v>
      </c>
      <c r="CC92" s="3">
        <f t="shared" si="147"/>
        <v>0.17990274775391865</v>
      </c>
      <c r="CD92" s="3">
        <f t="shared" si="148"/>
        <v>0.17990274775391865</v>
      </c>
      <c r="CE92" s="3">
        <f t="shared" si="149"/>
        <v>0.17990274775391865</v>
      </c>
      <c r="CF92" s="3">
        <f t="shared" si="150"/>
        <v>0.17990274775391865</v>
      </c>
      <c r="CG92" s="3">
        <f t="shared" si="151"/>
        <v>0.17990274775391865</v>
      </c>
      <c r="CH92" s="3">
        <f t="shared" si="152"/>
        <v>0.17990274775391865</v>
      </c>
      <c r="CI92" s="3">
        <f t="shared" si="153"/>
        <v>0.17990274775391865</v>
      </c>
      <c r="CJ92" s="3">
        <f t="shared" si="154"/>
        <v>0.17990274775391865</v>
      </c>
      <c r="CK92" s="3">
        <f t="shared" si="155"/>
        <v>0.17990274775391865</v>
      </c>
      <c r="CL92" s="3">
        <f t="shared" si="156"/>
        <v>0.17990274775391865</v>
      </c>
      <c r="CM92" s="3">
        <f t="shared" si="157"/>
        <v>0.17990274775391865</v>
      </c>
      <c r="CN92" s="3">
        <f t="shared" si="158"/>
        <v>0.17990274775391865</v>
      </c>
      <c r="CO92" s="3">
        <f t="shared" si="159"/>
        <v>0.17990274775391865</v>
      </c>
      <c r="CP92" s="3">
        <f t="shared" si="160"/>
        <v>0.17990274775391865</v>
      </c>
      <c r="CQ92" s="3">
        <f t="shared" si="161"/>
        <v>0.17990274775391865</v>
      </c>
      <c r="CR92" s="3">
        <f t="shared" si="162"/>
        <v>0.17990274775391865</v>
      </c>
      <c r="CS92" s="3">
        <f t="shared" si="163"/>
        <v>0.17990274775391865</v>
      </c>
      <c r="CT92" s="3">
        <f t="shared" si="164"/>
        <v>0.17990274775391865</v>
      </c>
      <c r="CU92" s="3">
        <f t="shared" si="165"/>
        <v>0.17990274775391865</v>
      </c>
      <c r="CV92" s="3">
        <f t="shared" si="166"/>
        <v>0.17990274775391865</v>
      </c>
      <c r="CW92" s="3">
        <f t="shared" si="167"/>
        <v>0.17990274775391865</v>
      </c>
      <c r="CX92" s="3">
        <f t="shared" si="168"/>
        <v>0.17990274775391865</v>
      </c>
      <c r="DE92" s="17"/>
      <c r="DF92" s="3">
        <v>100</v>
      </c>
      <c r="DG92" s="3">
        <f t="shared" si="169"/>
        <v>60.326273595955726</v>
      </c>
      <c r="DH92" s="3">
        <f t="shared" si="170"/>
        <v>56.780829177245487</v>
      </c>
      <c r="DI92" s="3">
        <f t="shared" si="171"/>
        <v>53.350656480048549</v>
      </c>
      <c r="DJ92" s="3">
        <f t="shared" si="172"/>
        <v>50.07016399560451</v>
      </c>
      <c r="DK92" s="3">
        <f t="shared" si="173"/>
        <v>46.960534633328379</v>
      </c>
      <c r="DL92" s="3">
        <f t="shared" si="174"/>
        <v>44.031070965762162</v>
      </c>
      <c r="DM92" s="3">
        <f t="shared" si="175"/>
        <v>41.281342837342116</v>
      </c>
      <c r="DN92" s="3">
        <f t="shared" si="176"/>
        <v>38.703451505459199</v>
      </c>
      <c r="DO92" s="3">
        <f t="shared" si="177"/>
        <v>36.284052281515784</v>
      </c>
      <c r="DP92" s="3">
        <f t="shared" si="178"/>
        <v>34.005998580415316</v>
      </c>
      <c r="DQ92" s="3">
        <f t="shared" si="179"/>
        <v>31.849595306077447</v>
      </c>
      <c r="DR92" s="3">
        <f t="shared" si="180"/>
        <v>29.793509400800371</v>
      </c>
      <c r="DS92" s="3">
        <f t="shared" si="181"/>
        <v>27.815408179032531</v>
      </c>
      <c r="DT92" s="3">
        <f t="shared" si="182"/>
        <v>25.892401279800215</v>
      </c>
      <c r="DU92" s="3">
        <f t="shared" si="183"/>
        <v>24.00136155333572</v>
      </c>
      <c r="DV92" s="3">
        <f t="shared" si="184"/>
        <v>22.119200410978312</v>
      </c>
      <c r="DW92" s="3">
        <f t="shared" si="185"/>
        <v>20.223177073968536</v>
      </c>
      <c r="DX92" s="3">
        <f t="shared" si="186"/>
        <v>18.291329102441932</v>
      </c>
      <c r="DY92" s="3">
        <f t="shared" si="187"/>
        <v>16.303121076353584</v>
      </c>
      <c r="DZ92" s="3">
        <f t="shared" si="188"/>
        <v>14.240412623736921</v>
      </c>
      <c r="EA92" s="3">
        <f t="shared" si="189"/>
        <v>12.088832786667549</v>
      </c>
      <c r="EB92" s="3">
        <f t="shared" si="190"/>
        <v>9.8395921559849331</v>
      </c>
      <c r="EC92" s="3">
        <f t="shared" si="191"/>
        <v>7.4916341446688648</v>
      </c>
      <c r="ED92" s="3">
        <f t="shared" si="192"/>
        <v>5.0537857787548575</v>
      </c>
      <c r="EE92" s="3">
        <f t="shared" si="193"/>
        <v>2.5462038244753376</v>
      </c>
      <c r="EF92" s="3">
        <v>0</v>
      </c>
    </row>
    <row r="93" spans="7:136" x14ac:dyDescent="0.3">
      <c r="G93" s="16"/>
      <c r="H93" s="3">
        <f t="shared" si="113"/>
        <v>100</v>
      </c>
      <c r="I93" s="3">
        <f t="shared" si="194"/>
        <v>73.504122974355383</v>
      </c>
      <c r="J93" s="3">
        <f t="shared" si="195"/>
        <v>69.151436799967115</v>
      </c>
      <c r="K93" s="3">
        <f t="shared" si="196"/>
        <v>64.96367325085636</v>
      </c>
      <c r="L93" s="3">
        <f t="shared" si="197"/>
        <v>60.984683683572989</v>
      </c>
      <c r="M93" s="3">
        <f t="shared" si="198"/>
        <v>57.237942225506089</v>
      </c>
      <c r="N93" s="3">
        <f t="shared" si="199"/>
        <v>53.730131297730374</v>
      </c>
      <c r="O93" s="3">
        <f t="shared" si="200"/>
        <v>50.455309245614572</v>
      </c>
      <c r="P93" s="3">
        <f t="shared" si="201"/>
        <v>47.398653239338472</v>
      </c>
      <c r="Q93" s="3">
        <f t="shared" si="202"/>
        <v>44.539415609363992</v>
      </c>
      <c r="R93" s="3">
        <f t="shared" si="203"/>
        <v>41.853073077897889</v>
      </c>
      <c r="S93" s="3">
        <f t="shared" si="204"/>
        <v>39.312790750747375</v>
      </c>
      <c r="T93" s="3">
        <f t="shared" si="205"/>
        <v>36.890359051490869</v>
      </c>
      <c r="U93" s="3">
        <f t="shared" si="206"/>
        <v>34.556752384378576</v>
      </c>
      <c r="V93" s="3">
        <f t="shared" si="207"/>
        <v>32.282436406122741</v>
      </c>
      <c r="W93" s="3">
        <f t="shared" si="208"/>
        <v>30.03753243128466</v>
      </c>
      <c r="X93" s="3">
        <f t="shared" si="209"/>
        <v>27.791939611795947</v>
      </c>
      <c r="Y93" s="3">
        <f t="shared" si="210"/>
        <v>25.515520701813941</v>
      </c>
      <c r="Z93" s="3">
        <f t="shared" si="211"/>
        <v>23.178475728704882</v>
      </c>
      <c r="AA93" s="3">
        <f t="shared" si="212"/>
        <v>20.752057420679517</v>
      </c>
      <c r="AB93" s="3">
        <f t="shared" si="213"/>
        <v>18.209815154417832</v>
      </c>
      <c r="AC93" s="3">
        <f t="shared" si="214"/>
        <v>15.529571869195825</v>
      </c>
      <c r="AD93" s="3">
        <f t="shared" si="215"/>
        <v>12.696302282641712</v>
      </c>
      <c r="AE93" s="3">
        <f t="shared" si="216"/>
        <v>9.7059216632281942</v>
      </c>
      <c r="AF93" s="3">
        <f t="shared" si="217"/>
        <v>6.5696084851962055</v>
      </c>
      <c r="AG93" s="3">
        <f t="shared" si="218"/>
        <v>3.3175596580579456</v>
      </c>
      <c r="AH93" s="3">
        <v>0</v>
      </c>
      <c r="AI93"/>
      <c r="AJ93"/>
      <c r="AK93"/>
      <c r="AL93"/>
      <c r="AO93" s="17"/>
      <c r="AP93" s="3">
        <f t="shared" si="116"/>
        <v>-358800000</v>
      </c>
      <c r="AQ93" s="3">
        <f t="shared" si="117"/>
        <v>-263829181.9643417</v>
      </c>
      <c r="AR93" s="3">
        <f t="shared" si="118"/>
        <v>-248276824.40914363</v>
      </c>
      <c r="AS93" s="3">
        <f t="shared" si="119"/>
        <v>-233296906.92641798</v>
      </c>
      <c r="AT93" s="3">
        <f t="shared" si="120"/>
        <v>-219047042.54618531</v>
      </c>
      <c r="AU93" s="3">
        <f t="shared" si="121"/>
        <v>-205614355.02145484</v>
      </c>
      <c r="AV93" s="3">
        <f t="shared" si="122"/>
        <v>-193026500.78722438</v>
      </c>
      <c r="AW93" s="3">
        <f t="shared" si="123"/>
        <v>-181265599.65325257</v>
      </c>
      <c r="AX93" s="3">
        <f t="shared" si="124"/>
        <v>-170281248.13600925</v>
      </c>
      <c r="AY93" s="3">
        <f t="shared" si="125"/>
        <v>-160001057.20626578</v>
      </c>
      <c r="AZ93" s="3">
        <f t="shared" si="126"/>
        <v>-150338452.28425944</v>
      </c>
      <c r="BA93" s="3">
        <f t="shared" si="127"/>
        <v>-141198064.79500026</v>
      </c>
      <c r="BB93" s="3">
        <f t="shared" si="128"/>
        <v>-132479232.58265401</v>
      </c>
      <c r="BC93" s="3">
        <f t="shared" si="129"/>
        <v>-124078126.60057665</v>
      </c>
      <c r="BD93" s="3">
        <f t="shared" si="130"/>
        <v>-115888960.00420476</v>
      </c>
      <c r="BE93" s="3">
        <f t="shared" si="131"/>
        <v>-107804677.78573009</v>
      </c>
      <c r="BF93" s="3">
        <f t="shared" si="132"/>
        <v>-99717499.822508007</v>
      </c>
      <c r="BG93" s="3">
        <f t="shared" si="133"/>
        <v>-91519708.955625564</v>
      </c>
      <c r="BH93" s="3">
        <f t="shared" si="134"/>
        <v>-83105139.184274763</v>
      </c>
      <c r="BI93" s="3">
        <f t="shared" si="135"/>
        <v>-74371916.247886777</v>
      </c>
      <c r="BJ93" s="3">
        <f t="shared" si="136"/>
        <v>-65227100.994479686</v>
      </c>
      <c r="BK93" s="3">
        <f t="shared" si="137"/>
        <v>-55593910.359491475</v>
      </c>
      <c r="BL93" s="3">
        <f t="shared" si="138"/>
        <v>-45421995.621213436</v>
      </c>
      <c r="BM93" s="3">
        <f t="shared" si="139"/>
        <v>-34700597.646469027</v>
      </c>
      <c r="BN93" s="3">
        <f t="shared" si="140"/>
        <v>-23472940.719937935</v>
      </c>
      <c r="BO93" s="3">
        <f t="shared" si="141"/>
        <v>-11847695.83692299</v>
      </c>
      <c r="BP93" s="3">
        <f t="shared" si="142"/>
        <v>0</v>
      </c>
      <c r="BW93" s="17"/>
      <c r="BX93" s="3">
        <v>1</v>
      </c>
      <c r="BY93" s="3">
        <f t="shared" si="143"/>
        <v>0.17990274775391843</v>
      </c>
      <c r="BZ93" s="3">
        <f t="shared" si="144"/>
        <v>0.17990274775391843</v>
      </c>
      <c r="CA93" s="3">
        <f t="shared" si="145"/>
        <v>0.17990274775391843</v>
      </c>
      <c r="CB93" s="3">
        <f t="shared" si="146"/>
        <v>0.17990274775391843</v>
      </c>
      <c r="CC93" s="3">
        <f t="shared" si="147"/>
        <v>0.17990274775391843</v>
      </c>
      <c r="CD93" s="3">
        <f t="shared" si="148"/>
        <v>0.17990274775391843</v>
      </c>
      <c r="CE93" s="3">
        <f t="shared" si="149"/>
        <v>0.17990274775391843</v>
      </c>
      <c r="CF93" s="3">
        <f t="shared" si="150"/>
        <v>0.17990274775391843</v>
      </c>
      <c r="CG93" s="3">
        <f t="shared" si="151"/>
        <v>0.17990274775391843</v>
      </c>
      <c r="CH93" s="3">
        <f t="shared" si="152"/>
        <v>0.17990274775391843</v>
      </c>
      <c r="CI93" s="3">
        <f t="shared" si="153"/>
        <v>0.17990274775391843</v>
      </c>
      <c r="CJ93" s="3">
        <f t="shared" si="154"/>
        <v>0.17990274775391843</v>
      </c>
      <c r="CK93" s="3">
        <f t="shared" si="155"/>
        <v>0.17990274775391843</v>
      </c>
      <c r="CL93" s="3">
        <f t="shared" si="156"/>
        <v>0.17990274775391843</v>
      </c>
      <c r="CM93" s="3">
        <f t="shared" si="157"/>
        <v>0.17990274775391843</v>
      </c>
      <c r="CN93" s="3">
        <f t="shared" si="158"/>
        <v>0.17990274775391843</v>
      </c>
      <c r="CO93" s="3">
        <f t="shared" si="159"/>
        <v>0.17990274775391843</v>
      </c>
      <c r="CP93" s="3">
        <f t="shared" si="160"/>
        <v>0.17990274775391843</v>
      </c>
      <c r="CQ93" s="3">
        <f t="shared" si="161"/>
        <v>0.17990274775391843</v>
      </c>
      <c r="CR93" s="3">
        <f t="shared" si="162"/>
        <v>0.17990274775391843</v>
      </c>
      <c r="CS93" s="3">
        <f t="shared" si="163"/>
        <v>0.17990274775391843</v>
      </c>
      <c r="CT93" s="3">
        <f t="shared" si="164"/>
        <v>0.17990274775391843</v>
      </c>
      <c r="CU93" s="3">
        <f t="shared" si="165"/>
        <v>0.17990274775391843</v>
      </c>
      <c r="CV93" s="3">
        <f t="shared" si="166"/>
        <v>0.17990274775391843</v>
      </c>
      <c r="CW93" s="3">
        <f t="shared" si="167"/>
        <v>0.17990274775391843</v>
      </c>
      <c r="CX93" s="3">
        <f t="shared" si="168"/>
        <v>0.17990274775391843</v>
      </c>
      <c r="DE93" s="17"/>
      <c r="DF93" s="3">
        <v>100</v>
      </c>
      <c r="DG93" s="3">
        <f t="shared" si="169"/>
        <v>60.271902493523768</v>
      </c>
      <c r="DH93" s="3">
        <f t="shared" si="170"/>
        <v>56.698485706807169</v>
      </c>
      <c r="DI93" s="3">
        <f t="shared" si="171"/>
        <v>53.265227571811543</v>
      </c>
      <c r="DJ93" s="3">
        <f t="shared" si="172"/>
        <v>50.008469956916556</v>
      </c>
      <c r="DK93" s="3">
        <f t="shared" si="173"/>
        <v>46.946974344208044</v>
      </c>
      <c r="DL93" s="3">
        <f t="shared" si="174"/>
        <v>44.085255192728688</v>
      </c>
      <c r="DM93" s="3">
        <f t="shared" si="175"/>
        <v>41.417314923915285</v>
      </c>
      <c r="DN93" s="3">
        <f t="shared" si="176"/>
        <v>38.92991674999778</v>
      </c>
      <c r="DO93" s="3">
        <f t="shared" si="177"/>
        <v>36.605111639750334</v>
      </c>
      <c r="DP93" s="3">
        <f t="shared" si="178"/>
        <v>34.422031595933987</v>
      </c>
      <c r="DQ93" s="3">
        <f t="shared" si="179"/>
        <v>32.358077023554088</v>
      </c>
      <c r="DR93" s="3">
        <f t="shared" si="180"/>
        <v>30.389648650279327</v>
      </c>
      <c r="DS93" s="3">
        <f t="shared" si="181"/>
        <v>28.492559256357193</v>
      </c>
      <c r="DT93" s="3">
        <f t="shared" si="182"/>
        <v>26.642236698995788</v>
      </c>
      <c r="DU93" s="3">
        <f t="shared" si="183"/>
        <v>24.813810989704237</v>
      </c>
      <c r="DV93" s="3">
        <f t="shared" si="184"/>
        <v>22.982170036949388</v>
      </c>
      <c r="DW93" s="3">
        <f t="shared" si="185"/>
        <v>21.122073024315096</v>
      </c>
      <c r="DX93" s="3">
        <f t="shared" si="186"/>
        <v>19.208427443841135</v>
      </c>
      <c r="DY93" s="3">
        <f t="shared" si="187"/>
        <v>17.216863739981292</v>
      </c>
      <c r="DZ93" s="3">
        <f t="shared" si="188"/>
        <v>15.124774091950087</v>
      </c>
      <c r="EA93" s="3">
        <f t="shared" si="189"/>
        <v>12.913003175533758</v>
      </c>
      <c r="EB93" s="3">
        <f t="shared" si="190"/>
        <v>10.568354778291377</v>
      </c>
      <c r="EC93" s="3">
        <f t="shared" si="191"/>
        <v>8.0869461441327406</v>
      </c>
      <c r="ED93" s="3">
        <f t="shared" si="192"/>
        <v>5.4781047468210406</v>
      </c>
      <c r="EE93" s="3">
        <f t="shared" si="193"/>
        <v>2.7678494957082491</v>
      </c>
      <c r="EF93" s="3">
        <v>0</v>
      </c>
    </row>
    <row r="94" spans="7:136" x14ac:dyDescent="0.3">
      <c r="G94" s="16"/>
      <c r="H94" s="3">
        <f t="shared" si="113"/>
        <v>100</v>
      </c>
      <c r="I94" s="3">
        <f t="shared" si="194"/>
        <v>73.355739713909742</v>
      </c>
      <c r="J94" s="3">
        <f t="shared" si="195"/>
        <v>68.914172506128622</v>
      </c>
      <c r="K94" s="3">
        <f t="shared" si="196"/>
        <v>64.68491028858611</v>
      </c>
      <c r="L94" s="3">
        <f t="shared" si="197"/>
        <v>60.713627974874505</v>
      </c>
      <c r="M94" s="3">
        <f t="shared" si="198"/>
        <v>57.018058168742563</v>
      </c>
      <c r="N94" s="3">
        <f t="shared" si="199"/>
        <v>53.595680744070506</v>
      </c>
      <c r="O94" s="3">
        <f t="shared" si="200"/>
        <v>50.43071887765079</v>
      </c>
      <c r="P94" s="3">
        <f t="shared" si="201"/>
        <v>47.499445574820328</v>
      </c>
      <c r="Q94" s="3">
        <f t="shared" si="202"/>
        <v>44.773782165635581</v>
      </c>
      <c r="R94" s="3">
        <f t="shared" si="203"/>
        <v>42.223525910348656</v>
      </c>
      <c r="S94" s="3">
        <f t="shared" si="204"/>
        <v>39.817595783516843</v>
      </c>
      <c r="T94" s="3">
        <f t="shared" si="205"/>
        <v>37.524622250664898</v>
      </c>
      <c r="U94" s="3">
        <f t="shared" si="206"/>
        <v>35.313120526171751</v>
      </c>
      <c r="V94" s="3">
        <f t="shared" si="207"/>
        <v>33.151414579489675</v>
      </c>
      <c r="W94" s="3">
        <f t="shared" si="208"/>
        <v>31.00743218237518</v>
      </c>
      <c r="X94" s="3">
        <f t="shared" si="209"/>
        <v>28.848470917199485</v>
      </c>
      <c r="Y94" s="3">
        <f t="shared" si="210"/>
        <v>26.641040689350255</v>
      </c>
      <c r="Z94" s="3">
        <f t="shared" si="211"/>
        <v>24.350920256480247</v>
      </c>
      <c r="AA94" s="3">
        <f t="shared" si="212"/>
        <v>21.943624620631802</v>
      </c>
      <c r="AB94" s="3">
        <f t="shared" si="213"/>
        <v>19.385564864184985</v>
      </c>
      <c r="AC94" s="3">
        <f t="shared" si="214"/>
        <v>16.646278212986733</v>
      </c>
      <c r="AD94" s="3">
        <f t="shared" si="215"/>
        <v>13.702169732716648</v>
      </c>
      <c r="AE94" s="3">
        <f t="shared" si="216"/>
        <v>10.542132354655122</v>
      </c>
      <c r="AF94" s="3">
        <f t="shared" si="217"/>
        <v>7.1749875482142498</v>
      </c>
      <c r="AG94" s="3">
        <f t="shared" si="218"/>
        <v>3.6375673818040237</v>
      </c>
      <c r="AH94" s="3">
        <v>0</v>
      </c>
      <c r="AI94"/>
      <c r="AJ94"/>
      <c r="AK94"/>
      <c r="AL94"/>
      <c r="AO94" s="17"/>
      <c r="AP94" s="3">
        <f t="shared" si="116"/>
        <v>-358800000</v>
      </c>
      <c r="AQ94" s="3">
        <f t="shared" si="117"/>
        <v>-263325830.80402619</v>
      </c>
      <c r="AR94" s="3">
        <f t="shared" si="118"/>
        <v>-247467594.86734051</v>
      </c>
      <c r="AS94" s="3">
        <f t="shared" si="119"/>
        <v>-232341199.76899612</v>
      </c>
      <c r="AT94" s="3">
        <f t="shared" si="120"/>
        <v>-218114216.99906501</v>
      </c>
      <c r="AU94" s="3">
        <f t="shared" si="121"/>
        <v>-204856799.57499382</v>
      </c>
      <c r="AV94" s="3">
        <f t="shared" si="122"/>
        <v>-192566261.52701607</v>
      </c>
      <c r="AW94" s="3">
        <f t="shared" si="123"/>
        <v>-181191002.25630757</v>
      </c>
      <c r="AX94" s="3">
        <f t="shared" si="124"/>
        <v>-170649371.71989149</v>
      </c>
      <c r="AY94" s="3">
        <f t="shared" si="125"/>
        <v>-160842821.45893005</v>
      </c>
      <c r="AZ94" s="3">
        <f t="shared" si="126"/>
        <v>-151664235.40194651</v>
      </c>
      <c r="BA94" s="3">
        <f t="shared" si="127"/>
        <v>-143002703.0006952</v>
      </c>
      <c r="BB94" s="3">
        <f t="shared" si="128"/>
        <v>-134745867.10772261</v>
      </c>
      <c r="BC94" s="3">
        <f t="shared" si="129"/>
        <v>-126780712.00298539</v>
      </c>
      <c r="BD94" s="3">
        <f t="shared" si="130"/>
        <v>-118993412.87373735</v>
      </c>
      <c r="BE94" s="3">
        <f t="shared" si="131"/>
        <v>-111268703.02290992</v>
      </c>
      <c r="BF94" s="3">
        <f t="shared" si="132"/>
        <v>-103489142.26286913</v>
      </c>
      <c r="BG94" s="3">
        <f t="shared" si="133"/>
        <v>-95534690.380277827</v>
      </c>
      <c r="BH94" s="3">
        <f t="shared" si="134"/>
        <v>-87283104.177684218</v>
      </c>
      <c r="BI94" s="3">
        <f t="shared" si="135"/>
        <v>-78611885.076796189</v>
      </c>
      <c r="BJ94" s="3">
        <f t="shared" si="136"/>
        <v>-69402790.122486889</v>
      </c>
      <c r="BK94" s="3">
        <f t="shared" si="137"/>
        <v>-59550214.506146222</v>
      </c>
      <c r="BL94" s="3">
        <f t="shared" si="138"/>
        <v>-48974871.899709545</v>
      </c>
      <c r="BM94" s="3">
        <f t="shared" si="139"/>
        <v>-37643728.329715885</v>
      </c>
      <c r="BN94" s="3">
        <f t="shared" si="140"/>
        <v>-25595328.972650629</v>
      </c>
      <c r="BO94" s="3">
        <f t="shared" si="141"/>
        <v>-12965397.216898263</v>
      </c>
      <c r="BP94" s="3">
        <f t="shared" si="142"/>
        <v>0</v>
      </c>
      <c r="BW94" s="17"/>
      <c r="BX94" s="3">
        <v>1</v>
      </c>
      <c r="BY94" s="3">
        <f t="shared" si="143"/>
        <v>0.17990274775391188</v>
      </c>
      <c r="BZ94" s="3">
        <f t="shared" si="144"/>
        <v>0.17990274775391188</v>
      </c>
      <c r="CA94" s="3">
        <f t="shared" si="145"/>
        <v>0.17990274775391188</v>
      </c>
      <c r="CB94" s="3">
        <f t="shared" si="146"/>
        <v>0.17990274775391188</v>
      </c>
      <c r="CC94" s="3">
        <f t="shared" si="147"/>
        <v>0.17990274775391188</v>
      </c>
      <c r="CD94" s="3">
        <f t="shared" si="148"/>
        <v>0.17990274775391188</v>
      </c>
      <c r="CE94" s="3">
        <f t="shared" si="149"/>
        <v>0.17990274775391188</v>
      </c>
      <c r="CF94" s="3">
        <f t="shared" si="150"/>
        <v>0.17990274775391188</v>
      </c>
      <c r="CG94" s="3">
        <f t="shared" si="151"/>
        <v>0.17990274775391188</v>
      </c>
      <c r="CH94" s="3">
        <f t="shared" si="152"/>
        <v>0.17990274775391188</v>
      </c>
      <c r="CI94" s="3">
        <f t="shared" si="153"/>
        <v>0.17990274775391188</v>
      </c>
      <c r="CJ94" s="3">
        <f t="shared" si="154"/>
        <v>0.17990274775391188</v>
      </c>
      <c r="CK94" s="3">
        <f t="shared" si="155"/>
        <v>0.17990274775391188</v>
      </c>
      <c r="CL94" s="3">
        <f t="shared" si="156"/>
        <v>0.17990274775391188</v>
      </c>
      <c r="CM94" s="3">
        <f t="shared" si="157"/>
        <v>0.17990274775391188</v>
      </c>
      <c r="CN94" s="3">
        <f t="shared" si="158"/>
        <v>0.17990274775391188</v>
      </c>
      <c r="CO94" s="3">
        <f t="shared" si="159"/>
        <v>0.17990274775391188</v>
      </c>
      <c r="CP94" s="3">
        <f t="shared" si="160"/>
        <v>0.17990274775391188</v>
      </c>
      <c r="CQ94" s="3">
        <f t="shared" si="161"/>
        <v>0.17990274775391188</v>
      </c>
      <c r="CR94" s="3">
        <f t="shared" si="162"/>
        <v>0.17990274775391188</v>
      </c>
      <c r="CS94" s="3">
        <f t="shared" si="163"/>
        <v>0.17990274775391188</v>
      </c>
      <c r="CT94" s="3">
        <f t="shared" si="164"/>
        <v>0.17990274775391188</v>
      </c>
      <c r="CU94" s="3">
        <f t="shared" si="165"/>
        <v>0.17990274775391188</v>
      </c>
      <c r="CV94" s="3">
        <f t="shared" si="166"/>
        <v>0.17990274775391188</v>
      </c>
      <c r="CW94" s="3">
        <f t="shared" si="167"/>
        <v>0.17990274775391188</v>
      </c>
      <c r="CX94" s="3">
        <f t="shared" si="168"/>
        <v>0.17990274775391188</v>
      </c>
      <c r="DE94" s="17"/>
      <c r="DF94" s="3">
        <v>100</v>
      </c>
      <c r="DG94" s="3">
        <f t="shared" si="169"/>
        <v>60.132146019581761</v>
      </c>
      <c r="DH94" s="3">
        <f t="shared" si="170"/>
        <v>56.473639014683556</v>
      </c>
      <c r="DI94" s="3">
        <f t="shared" si="171"/>
        <v>52.997766966569749</v>
      </c>
      <c r="DJ94" s="3">
        <f t="shared" si="172"/>
        <v>49.742315809296571</v>
      </c>
      <c r="DK94" s="3">
        <f t="shared" si="173"/>
        <v>46.720795086594357</v>
      </c>
      <c r="DL94" s="3">
        <f t="shared" si="174"/>
        <v>43.929482486430352</v>
      </c>
      <c r="DM94" s="3">
        <f t="shared" si="175"/>
        <v>41.35367010559137</v>
      </c>
      <c r="DN94" s="3">
        <f t="shared" si="176"/>
        <v>38.972297617228477</v>
      </c>
      <c r="DO94" s="3">
        <f t="shared" si="177"/>
        <v>36.761018914157525</v>
      </c>
      <c r="DP94" s="3">
        <f t="shared" si="178"/>
        <v>34.694043061689548</v>
      </c>
      <c r="DQ94" s="3">
        <f t="shared" si="179"/>
        <v>32.745116705582817</v>
      </c>
      <c r="DR94" s="3">
        <f t="shared" si="180"/>
        <v>30.887945291673297</v>
      </c>
      <c r="DS94" s="3">
        <f t="shared" si="181"/>
        <v>29.096265818770501</v>
      </c>
      <c r="DT94" s="3">
        <f t="shared" si="182"/>
        <v>27.343715565837275</v>
      </c>
      <c r="DU94" s="3">
        <f t="shared" si="183"/>
        <v>25.603597562239827</v>
      </c>
      <c r="DV94" s="3">
        <f t="shared" si="184"/>
        <v>23.848624615626608</v>
      </c>
      <c r="DW94" s="3">
        <f t="shared" si="185"/>
        <v>22.050728404722104</v>
      </c>
      <c r="DX94" s="3">
        <f t="shared" si="186"/>
        <v>20.181048784138884</v>
      </c>
      <c r="DY94" s="3">
        <f t="shared" si="187"/>
        <v>18.210272469104599</v>
      </c>
      <c r="DZ94" s="3">
        <f t="shared" si="188"/>
        <v>16.109569081814392</v>
      </c>
      <c r="EA94" s="3">
        <f t="shared" si="189"/>
        <v>13.852465562276551</v>
      </c>
      <c r="EB94" s="3">
        <f t="shared" si="190"/>
        <v>11.41807006575514</v>
      </c>
      <c r="EC94" s="3">
        <f t="shared" si="191"/>
        <v>8.7960103779561507</v>
      </c>
      <c r="ED94" s="3">
        <f t="shared" si="192"/>
        <v>5.9930969300600374</v>
      </c>
      <c r="EE94" s="3">
        <f t="shared" si="193"/>
        <v>3.0407292834818711</v>
      </c>
      <c r="EF94" s="3">
        <v>0</v>
      </c>
    </row>
    <row r="95" spans="7:136" x14ac:dyDescent="0.3">
      <c r="G95" s="16"/>
      <c r="H95" s="3">
        <f t="shared" si="113"/>
        <v>100</v>
      </c>
      <c r="I95" s="3">
        <f t="shared" si="194"/>
        <v>73.076659597894761</v>
      </c>
      <c r="J95" s="3">
        <f t="shared" si="195"/>
        <v>68.464828753280216</v>
      </c>
      <c r="K95" s="3">
        <f t="shared" si="196"/>
        <v>64.143848973634135</v>
      </c>
      <c r="L95" s="3">
        <f t="shared" si="197"/>
        <v>60.157374094804311</v>
      </c>
      <c r="M95" s="3">
        <f t="shared" si="198"/>
        <v>56.510592994032244</v>
      </c>
      <c r="N95" s="3">
        <f t="shared" si="199"/>
        <v>53.185160208411972</v>
      </c>
      <c r="O95" s="3">
        <f t="shared" si="200"/>
        <v>50.150247151479931</v>
      </c>
      <c r="P95" s="3">
        <f t="shared" si="201"/>
        <v>47.369594216035026</v>
      </c>
      <c r="Q95" s="3">
        <f t="shared" si="202"/>
        <v>44.80550175845211</v>
      </c>
      <c r="R95" s="3">
        <f t="shared" si="203"/>
        <v>42.420783742994175</v>
      </c>
      <c r="S95" s="3">
        <f t="shared" si="204"/>
        <v>40.179479338483659</v>
      </c>
      <c r="T95" s="3">
        <f t="shared" si="205"/>
        <v>38.046854059830025</v>
      </c>
      <c r="U95" s="3">
        <f t="shared" si="206"/>
        <v>35.989014266606944</v>
      </c>
      <c r="V95" s="3">
        <f t="shared" si="207"/>
        <v>33.972320635995274</v>
      </c>
      <c r="W95" s="3">
        <f t="shared" si="208"/>
        <v>31.962706971330757</v>
      </c>
      <c r="X95" s="3">
        <f t="shared" si="209"/>
        <v>29.924977556169445</v>
      </c>
      <c r="Y95" s="3">
        <f t="shared" si="210"/>
        <v>27.822162074648112</v>
      </c>
      <c r="Z95" s="3">
        <f t="shared" si="211"/>
        <v>25.61505264003025</v>
      </c>
      <c r="AA95" s="3">
        <f t="shared" si="212"/>
        <v>23.262141203456334</v>
      </c>
      <c r="AB95" s="3">
        <f t="shared" si="213"/>
        <v>20.720331108900886</v>
      </c>
      <c r="AC95" s="3">
        <f t="shared" si="214"/>
        <v>17.94702326897297</v>
      </c>
      <c r="AD95" s="3">
        <f t="shared" si="215"/>
        <v>14.90445551574118</v>
      </c>
      <c r="AE95" s="3">
        <f t="shared" si="216"/>
        <v>11.567394335787768</v>
      </c>
      <c r="AF95" s="3">
        <f t="shared" si="217"/>
        <v>7.9351213626821284</v>
      </c>
      <c r="AG95" s="3">
        <f t="shared" si="218"/>
        <v>4.0473841931521175</v>
      </c>
      <c r="AH95" s="3">
        <v>0</v>
      </c>
      <c r="AI95"/>
      <c r="AJ95"/>
      <c r="AK95"/>
      <c r="AL95"/>
      <c r="AO95" s="17"/>
      <c r="AP95" s="3">
        <f t="shared" si="116"/>
        <v>-358800000</v>
      </c>
      <c r="AQ95" s="3">
        <f t="shared" si="117"/>
        <v>-262375578.59230083</v>
      </c>
      <c r="AR95" s="3">
        <f t="shared" si="118"/>
        <v>-245925064.74192142</v>
      </c>
      <c r="AS95" s="3">
        <f t="shared" si="119"/>
        <v>-230469542.7666252</v>
      </c>
      <c r="AT95" s="3">
        <f t="shared" si="120"/>
        <v>-216177512.40034717</v>
      </c>
      <c r="AU95" s="3">
        <f t="shared" si="121"/>
        <v>-203080777.20859057</v>
      </c>
      <c r="AV95" s="3">
        <f t="shared" si="122"/>
        <v>-191123897.63644475</v>
      </c>
      <c r="AW95" s="3">
        <f t="shared" si="123"/>
        <v>-180203158.82681784</v>
      </c>
      <c r="AX95" s="3">
        <f t="shared" si="124"/>
        <v>-170192494.1503163</v>
      </c>
      <c r="AY95" s="3">
        <f t="shared" si="125"/>
        <v>-160958682.52594864</v>
      </c>
      <c r="AZ95" s="3">
        <f t="shared" si="126"/>
        <v>-152369098.93497607</v>
      </c>
      <c r="BA95" s="3">
        <f t="shared" si="127"/>
        <v>-144294786.24214455</v>
      </c>
      <c r="BB95" s="3">
        <f t="shared" si="128"/>
        <v>-136610785.9256098</v>
      </c>
      <c r="BC95" s="3">
        <f t="shared" si="129"/>
        <v>-129194947.89826228</v>
      </c>
      <c r="BD95" s="3">
        <f t="shared" si="130"/>
        <v>-121925940.31405644</v>
      </c>
      <c r="BE95" s="3">
        <f t="shared" si="131"/>
        <v>-114680886.20621258</v>
      </c>
      <c r="BF95" s="3">
        <f t="shared" si="132"/>
        <v>-107332928.82196768</v>
      </c>
      <c r="BG95" s="3">
        <f t="shared" si="133"/>
        <v>-99749049.033879131</v>
      </c>
      <c r="BH95" s="3">
        <f t="shared" si="134"/>
        <v>-91788628.705882534</v>
      </c>
      <c r="BI95" s="3">
        <f t="shared" si="135"/>
        <v>-83303600.168389142</v>
      </c>
      <c r="BJ95" s="3">
        <f t="shared" si="136"/>
        <v>-74141581.288502589</v>
      </c>
      <c r="BK95" s="3">
        <f t="shared" si="137"/>
        <v>-64154173.31207376</v>
      </c>
      <c r="BL95" s="3">
        <f t="shared" si="138"/>
        <v>-53213461.088657282</v>
      </c>
      <c r="BM95" s="3">
        <f t="shared" si="139"/>
        <v>-41240196.595987469</v>
      </c>
      <c r="BN95" s="3">
        <f t="shared" si="140"/>
        <v>-28245856.881009638</v>
      </c>
      <c r="BO95" s="3">
        <f t="shared" si="141"/>
        <v>-14385028.497623466</v>
      </c>
      <c r="BP95" s="3">
        <f t="shared" si="142"/>
        <v>0</v>
      </c>
      <c r="BW95" s="17"/>
      <c r="BX95" s="3">
        <v>1</v>
      </c>
      <c r="BY95" s="3">
        <f t="shared" si="143"/>
        <v>0.1799027477537091</v>
      </c>
      <c r="BZ95" s="3">
        <f t="shared" si="144"/>
        <v>0.1799027477537091</v>
      </c>
      <c r="CA95" s="3">
        <f t="shared" si="145"/>
        <v>0.1799027477537091</v>
      </c>
      <c r="CB95" s="3">
        <f t="shared" si="146"/>
        <v>0.1799027477537091</v>
      </c>
      <c r="CC95" s="3">
        <f t="shared" si="147"/>
        <v>0.1799027477537091</v>
      </c>
      <c r="CD95" s="3">
        <f t="shared" si="148"/>
        <v>0.1799027477537091</v>
      </c>
      <c r="CE95" s="3">
        <f t="shared" si="149"/>
        <v>0.1799027477537091</v>
      </c>
      <c r="CF95" s="3">
        <f t="shared" si="150"/>
        <v>0.1799027477537091</v>
      </c>
      <c r="CG95" s="3">
        <f t="shared" si="151"/>
        <v>0.1799027477537091</v>
      </c>
      <c r="CH95" s="3">
        <f t="shared" si="152"/>
        <v>0.1799027477537091</v>
      </c>
      <c r="CI95" s="3">
        <f t="shared" si="153"/>
        <v>0.1799027477537091</v>
      </c>
      <c r="CJ95" s="3">
        <f t="shared" si="154"/>
        <v>0.1799027477537091</v>
      </c>
      <c r="CK95" s="3">
        <f t="shared" si="155"/>
        <v>0.1799027477537091</v>
      </c>
      <c r="CL95" s="3">
        <f t="shared" si="156"/>
        <v>0.1799027477537091</v>
      </c>
      <c r="CM95" s="3">
        <f t="shared" si="157"/>
        <v>0.1799027477537091</v>
      </c>
      <c r="CN95" s="3">
        <f t="shared" si="158"/>
        <v>0.1799027477537091</v>
      </c>
      <c r="CO95" s="3">
        <f t="shared" si="159"/>
        <v>0.1799027477537091</v>
      </c>
      <c r="CP95" s="3">
        <f t="shared" si="160"/>
        <v>0.1799027477537091</v>
      </c>
      <c r="CQ95" s="3">
        <f t="shared" si="161"/>
        <v>0.1799027477537091</v>
      </c>
      <c r="CR95" s="3">
        <f t="shared" si="162"/>
        <v>0.1799027477537091</v>
      </c>
      <c r="CS95" s="3">
        <f t="shared" si="163"/>
        <v>0.1799027477537091</v>
      </c>
      <c r="CT95" s="3">
        <f t="shared" si="164"/>
        <v>0.1799027477537091</v>
      </c>
      <c r="CU95" s="3">
        <f t="shared" si="165"/>
        <v>0.1799027477537091</v>
      </c>
      <c r="CV95" s="3">
        <f t="shared" si="166"/>
        <v>0.1799027477537091</v>
      </c>
      <c r="CW95" s="3">
        <f t="shared" si="167"/>
        <v>0.1799027477537091</v>
      </c>
      <c r="CX95" s="3">
        <f t="shared" si="168"/>
        <v>0.1799027477537091</v>
      </c>
      <c r="DE95" s="17"/>
      <c r="DF95" s="3">
        <v>100</v>
      </c>
      <c r="DG95" s="3">
        <f t="shared" si="169"/>
        <v>59.87976045985652</v>
      </c>
      <c r="DH95" s="3">
        <f t="shared" si="170"/>
        <v>56.066979760254569</v>
      </c>
      <c r="DI95" s="3">
        <f t="shared" si="171"/>
        <v>52.506855874515331</v>
      </c>
      <c r="DJ95" s="3">
        <f t="shared" si="172"/>
        <v>49.234825596027925</v>
      </c>
      <c r="DK95" s="3">
        <f t="shared" si="173"/>
        <v>46.25288765789464</v>
      </c>
      <c r="DL95" s="3">
        <f t="shared" si="174"/>
        <v>43.54314997482313</v>
      </c>
      <c r="DM95" s="3">
        <f t="shared" si="175"/>
        <v>41.077622254195703</v>
      </c>
      <c r="DN95" s="3">
        <f t="shared" si="176"/>
        <v>38.82431344034709</v>
      </c>
      <c r="DO95" s="3">
        <f t="shared" si="177"/>
        <v>36.750575319528252</v>
      </c>
      <c r="DP95" s="3">
        <f t="shared" si="178"/>
        <v>34.82465541187252</v>
      </c>
      <c r="DQ95" s="3">
        <f t="shared" si="179"/>
        <v>33.016184448082477</v>
      </c>
      <c r="DR95" s="3">
        <f t="shared" si="180"/>
        <v>31.296071408515438</v>
      </c>
      <c r="DS95" s="3">
        <f t="shared" si="181"/>
        <v>29.63608685219074</v>
      </c>
      <c r="DT95" s="3">
        <f t="shared" si="182"/>
        <v>28.008290061222709</v>
      </c>
      <c r="DU95" s="3">
        <f t="shared" si="183"/>
        <v>26.384384720934673</v>
      </c>
      <c r="DV95" s="3">
        <f t="shared" si="184"/>
        <v>24.735058369672295</v>
      </c>
      <c r="DW95" s="3">
        <f t="shared" si="185"/>
        <v>23.029365651615631</v>
      </c>
      <c r="DX95" s="3">
        <f t="shared" si="186"/>
        <v>21.234255175557998</v>
      </c>
      <c r="DY95" s="3">
        <f t="shared" si="187"/>
        <v>19.314422838528731</v>
      </c>
      <c r="DZ95" s="3">
        <f t="shared" si="188"/>
        <v>17.232814723076249</v>
      </c>
      <c r="EA95" s="3">
        <f t="shared" si="189"/>
        <v>14.952312078583955</v>
      </c>
      <c r="EB95" s="3">
        <f t="shared" si="190"/>
        <v>12.439397530637748</v>
      </c>
      <c r="EC95" s="3">
        <f t="shared" si="191"/>
        <v>9.6708357580020312</v>
      </c>
      <c r="ED95" s="3">
        <f t="shared" si="192"/>
        <v>6.644321387659736</v>
      </c>
      <c r="EE95" s="3">
        <f t="shared" si="193"/>
        <v>3.3929758260263081</v>
      </c>
      <c r="EF95" s="3">
        <v>0</v>
      </c>
    </row>
    <row r="96" spans="7:136" x14ac:dyDescent="0.3">
      <c r="G96" s="16"/>
      <c r="H96" s="3">
        <f t="shared" si="113"/>
        <v>100</v>
      </c>
      <c r="I96" s="3">
        <f t="shared" si="194"/>
        <v>72.613653055851898</v>
      </c>
      <c r="J96" s="3">
        <f t="shared" si="195"/>
        <v>67.730766796324389</v>
      </c>
      <c r="K96" s="3">
        <f t="shared" si="196"/>
        <v>63.267896681227846</v>
      </c>
      <c r="L96" s="3">
        <f t="shared" si="197"/>
        <v>59.254307943016386</v>
      </c>
      <c r="M96" s="3">
        <f t="shared" si="198"/>
        <v>55.668906913401749</v>
      </c>
      <c r="N96" s="3">
        <f t="shared" si="199"/>
        <v>52.466703378674836</v>
      </c>
      <c r="O96" s="3">
        <f t="shared" si="200"/>
        <v>49.59462960807295</v>
      </c>
      <c r="P96" s="3">
        <f t="shared" si="201"/>
        <v>46.999691424810905</v>
      </c>
      <c r="Q96" s="3">
        <f t="shared" si="202"/>
        <v>44.632437204800667</v>
      </c>
      <c r="R96" s="3">
        <f t="shared" si="203"/>
        <v>42.447865654953411</v>
      </c>
      <c r="S96" s="3">
        <f t="shared" si="204"/>
        <v>40.405062862206833</v>
      </c>
      <c r="T96" s="3">
        <f t="shared" si="205"/>
        <v>38.466274468504871</v>
      </c>
      <c r="U96" s="3">
        <f t="shared" si="206"/>
        <v>36.595760316229175</v>
      </c>
      <c r="V96" s="3">
        <f t="shared" si="207"/>
        <v>34.758578330775421</v>
      </c>
      <c r="W96" s="3">
        <f t="shared" si="208"/>
        <v>32.919342950930741</v>
      </c>
      <c r="X96" s="3">
        <f t="shared" si="209"/>
        <v>31.040963775986228</v>
      </c>
      <c r="Y96" s="3">
        <f t="shared" si="210"/>
        <v>29.083375403432228</v>
      </c>
      <c r="Z96" s="3">
        <f t="shared" si="211"/>
        <v>27.002321034517035</v>
      </c>
      <c r="AA96" s="3">
        <f t="shared" si="212"/>
        <v>24.748370161359162</v>
      </c>
      <c r="AB96" s="3">
        <f t="shared" si="213"/>
        <v>22.266575423451343</v>
      </c>
      <c r="AC96" s="3">
        <f t="shared" si="214"/>
        <v>19.497568174934791</v>
      </c>
      <c r="AD96" s="3">
        <f t="shared" si="215"/>
        <v>16.381525829864085</v>
      </c>
      <c r="AE96" s="3">
        <f t="shared" si="216"/>
        <v>12.867325171388414</v>
      </c>
      <c r="AF96" s="3">
        <f t="shared" si="217"/>
        <v>8.9300640790255024</v>
      </c>
      <c r="AG96" s="3">
        <f t="shared" si="218"/>
        <v>4.599931451887822</v>
      </c>
      <c r="AH96" s="3">
        <v>0</v>
      </c>
      <c r="AI96"/>
      <c r="AJ96"/>
      <c r="AK96"/>
      <c r="AL96"/>
      <c r="AO96" s="17"/>
      <c r="AP96" s="3">
        <f t="shared" si="116"/>
        <v>-358800000</v>
      </c>
      <c r="AQ96" s="3">
        <f t="shared" si="117"/>
        <v>-260806382.13903025</v>
      </c>
      <c r="AR96" s="3">
        <f t="shared" si="118"/>
        <v>-243405931.68458027</v>
      </c>
      <c r="AS96" s="3">
        <f t="shared" si="119"/>
        <v>-227432108.78354985</v>
      </c>
      <c r="AT96" s="3">
        <f t="shared" si="120"/>
        <v>-213020284.18701071</v>
      </c>
      <c r="AU96" s="3">
        <f t="shared" si="121"/>
        <v>-200119308.57471558</v>
      </c>
      <c r="AV96" s="3">
        <f t="shared" si="122"/>
        <v>-188583375.69914681</v>
      </c>
      <c r="AW96" s="3">
        <f t="shared" si="123"/>
        <v>-178230543.6816242</v>
      </c>
      <c r="AX96" s="3">
        <f t="shared" si="124"/>
        <v>-168874502.04170561</v>
      </c>
      <c r="AY96" s="3">
        <f t="shared" si="125"/>
        <v>-160339007.33078146</v>
      </c>
      <c r="AZ96" s="3">
        <f t="shared" si="126"/>
        <v>-152462421.12917131</v>
      </c>
      <c r="BA96" s="3">
        <f t="shared" si="127"/>
        <v>-145097137.64071268</v>
      </c>
      <c r="BB96" s="3">
        <f t="shared" si="128"/>
        <v>-138106628.36963668</v>
      </c>
      <c r="BC96" s="3">
        <f t="shared" si="129"/>
        <v>-131361500.16642234</v>
      </c>
      <c r="BD96" s="3">
        <f t="shared" si="130"/>
        <v>-124735192.56459287</v>
      </c>
      <c r="BE96" s="3">
        <f t="shared" si="131"/>
        <v>-118099541.28631979</v>
      </c>
      <c r="BF96" s="3">
        <f t="shared" si="132"/>
        <v>-111320276.14669669</v>
      </c>
      <c r="BG96" s="3">
        <f t="shared" si="133"/>
        <v>-104252541.96934801</v>
      </c>
      <c r="BH96" s="3">
        <f t="shared" si="134"/>
        <v>-96736735.578189492</v>
      </c>
      <c r="BI96" s="3">
        <f t="shared" si="135"/>
        <v>-88595412.596844211</v>
      </c>
      <c r="BJ96" s="3">
        <f t="shared" si="136"/>
        <v>-79632877.580871761</v>
      </c>
      <c r="BK96" s="3">
        <f t="shared" si="137"/>
        <v>-69640529.200758189</v>
      </c>
      <c r="BL96" s="3">
        <f t="shared" si="138"/>
        <v>-58413249.13875331</v>
      </c>
      <c r="BM96" s="3">
        <f t="shared" si="139"/>
        <v>-45784889.159935258</v>
      </c>
      <c r="BN96" s="3">
        <f t="shared" si="140"/>
        <v>-31692746.31852312</v>
      </c>
      <c r="BO96" s="3">
        <f t="shared" si="141"/>
        <v>-16277036.808571098</v>
      </c>
      <c r="BP96" s="3">
        <f t="shared" si="142"/>
        <v>0</v>
      </c>
      <c r="BW96" s="17"/>
      <c r="BX96" s="3">
        <v>1</v>
      </c>
      <c r="BY96" s="3">
        <f t="shared" si="143"/>
        <v>0.17990274774744311</v>
      </c>
      <c r="BZ96" s="3">
        <f t="shared" si="144"/>
        <v>0.17990274774744311</v>
      </c>
      <c r="CA96" s="3">
        <f t="shared" si="145"/>
        <v>0.17990274774744311</v>
      </c>
      <c r="CB96" s="3">
        <f t="shared" si="146"/>
        <v>0.17990274774744311</v>
      </c>
      <c r="CC96" s="3">
        <f t="shared" si="147"/>
        <v>0.17990274774744311</v>
      </c>
      <c r="CD96" s="3">
        <f t="shared" si="148"/>
        <v>0.17990274774744311</v>
      </c>
      <c r="CE96" s="3">
        <f t="shared" si="149"/>
        <v>0.17990274774744311</v>
      </c>
      <c r="CF96" s="3">
        <f t="shared" si="150"/>
        <v>0.17990274774744311</v>
      </c>
      <c r="CG96" s="3">
        <f t="shared" si="151"/>
        <v>0.17990274774744311</v>
      </c>
      <c r="CH96" s="3">
        <f t="shared" si="152"/>
        <v>0.17990274774744311</v>
      </c>
      <c r="CI96" s="3">
        <f t="shared" si="153"/>
        <v>0.17990274774744311</v>
      </c>
      <c r="CJ96" s="3">
        <f t="shared" si="154"/>
        <v>0.17990274774744311</v>
      </c>
      <c r="CK96" s="3">
        <f t="shared" si="155"/>
        <v>0.17990274774744311</v>
      </c>
      <c r="CL96" s="3">
        <f t="shared" si="156"/>
        <v>0.17990274774744311</v>
      </c>
      <c r="CM96" s="3">
        <f t="shared" si="157"/>
        <v>0.17990274774744311</v>
      </c>
      <c r="CN96" s="3">
        <f t="shared" si="158"/>
        <v>0.17990274774744311</v>
      </c>
      <c r="CO96" s="3">
        <f t="shared" si="159"/>
        <v>0.17990274774744311</v>
      </c>
      <c r="CP96" s="3">
        <f t="shared" si="160"/>
        <v>0.17990274774744311</v>
      </c>
      <c r="CQ96" s="3">
        <f t="shared" si="161"/>
        <v>0.17990274774744311</v>
      </c>
      <c r="CR96" s="3">
        <f t="shared" si="162"/>
        <v>0.17990274774744311</v>
      </c>
      <c r="CS96" s="3">
        <f t="shared" si="163"/>
        <v>0.17990274774744311</v>
      </c>
      <c r="CT96" s="3">
        <f t="shared" si="164"/>
        <v>0.17990274774744311</v>
      </c>
      <c r="CU96" s="3">
        <f t="shared" si="165"/>
        <v>0.17990274774744311</v>
      </c>
      <c r="CV96" s="3">
        <f t="shared" si="166"/>
        <v>0.17990274774744311</v>
      </c>
      <c r="CW96" s="3">
        <f t="shared" si="167"/>
        <v>0.17990274774744311</v>
      </c>
      <c r="CX96" s="3">
        <f t="shared" si="168"/>
        <v>0.17990274774744311</v>
      </c>
      <c r="DE96" s="17"/>
      <c r="DF96" s="3">
        <v>100</v>
      </c>
      <c r="DG96" s="3">
        <f t="shared" si="169"/>
        <v>59.466961197986073</v>
      </c>
      <c r="DH96" s="3">
        <f t="shared" si="170"/>
        <v>55.413755979551127</v>
      </c>
      <c r="DI96" s="3">
        <f t="shared" si="171"/>
        <v>51.728241999774056</v>
      </c>
      <c r="DJ96" s="3">
        <f t="shared" si="172"/>
        <v>48.431831046090238</v>
      </c>
      <c r="DK96" s="3">
        <f t="shared" si="173"/>
        <v>45.502495956937942</v>
      </c>
      <c r="DL96" s="3">
        <f t="shared" si="174"/>
        <v>42.898546917793546</v>
      </c>
      <c r="DM96" s="3">
        <f t="shared" si="175"/>
        <v>40.572462345308331</v>
      </c>
      <c r="DN96" s="3">
        <f t="shared" si="176"/>
        <v>38.477771265664813</v>
      </c>
      <c r="DO96" s="3">
        <f t="shared" si="177"/>
        <v>36.571804324252234</v>
      </c>
      <c r="DP96" s="3">
        <f t="shared" si="178"/>
        <v>34.816250097988693</v>
      </c>
      <c r="DQ96" s="3">
        <f t="shared" si="179"/>
        <v>33.176664126152005</v>
      </c>
      <c r="DR96" s="3">
        <f t="shared" si="180"/>
        <v>31.621540879995489</v>
      </c>
      <c r="DS96" s="3">
        <f t="shared" si="181"/>
        <v>30.121237760944652</v>
      </c>
      <c r="DT96" s="3">
        <f t="shared" si="182"/>
        <v>28.646864501002707</v>
      </c>
      <c r="DU96" s="3">
        <f t="shared" si="183"/>
        <v>27.16916414134198</v>
      </c>
      <c r="DV96" s="3">
        <f t="shared" si="184"/>
        <v>25.657378087350779</v>
      </c>
      <c r="DW96" s="3">
        <f t="shared" si="185"/>
        <v>24.078091997928333</v>
      </c>
      <c r="DX96" s="3">
        <f t="shared" si="186"/>
        <v>22.394102680880195</v>
      </c>
      <c r="DY96" s="3">
        <f t="shared" si="187"/>
        <v>20.563447040368352</v>
      </c>
      <c r="DZ96" s="3">
        <f t="shared" si="188"/>
        <v>18.538930922723249</v>
      </c>
      <c r="EA96" s="3">
        <f t="shared" si="189"/>
        <v>16.268849374959256</v>
      </c>
      <c r="EB96" s="3">
        <f t="shared" si="190"/>
        <v>13.700173328902713</v>
      </c>
      <c r="EC96" s="3">
        <f t="shared" si="191"/>
        <v>10.786319146101985</v>
      </c>
      <c r="ED96" s="3">
        <f t="shared" si="192"/>
        <v>7.5025139421695526</v>
      </c>
      <c r="EE96" s="3">
        <f t="shared" si="193"/>
        <v>3.8717959143501881</v>
      </c>
      <c r="EF96" s="3">
        <v>0</v>
      </c>
    </row>
    <row r="97" spans="7:136" x14ac:dyDescent="0.3">
      <c r="G97" s="16"/>
      <c r="H97" s="3">
        <f t="shared" si="113"/>
        <v>100</v>
      </c>
      <c r="I97" s="3">
        <f t="shared" si="194"/>
        <v>71.870788101854771</v>
      </c>
      <c r="J97" s="3">
        <f t="shared" si="195"/>
        <v>66.59249627275112</v>
      </c>
      <c r="K97" s="3">
        <f t="shared" si="196"/>
        <v>61.947147182806006</v>
      </c>
      <c r="L97" s="3">
        <f t="shared" si="197"/>
        <v>57.917976930347294</v>
      </c>
      <c r="M97" s="3">
        <f t="shared" si="198"/>
        <v>54.432045683249257</v>
      </c>
      <c r="N97" s="3">
        <f t="shared" si="199"/>
        <v>51.401444875495663</v>
      </c>
      <c r="O97" s="3">
        <f t="shared" si="200"/>
        <v>48.742047510041139</v>
      </c>
      <c r="P97" s="3">
        <f t="shared" si="201"/>
        <v>46.380131494813789</v>
      </c>
      <c r="Q97" s="3">
        <f t="shared" si="202"/>
        <v>44.253254387237575</v>
      </c>
      <c r="R97" s="3">
        <f t="shared" si="203"/>
        <v>42.30878070435697</v>
      </c>
      <c r="S97" s="3">
        <f t="shared" si="204"/>
        <v>40.501683955002818</v>
      </c>
      <c r="T97" s="3">
        <f t="shared" si="205"/>
        <v>38.792300463648218</v>
      </c>
      <c r="U97" s="3">
        <f t="shared" si="206"/>
        <v>37.144249557320911</v>
      </c>
      <c r="V97" s="3">
        <f t="shared" si="207"/>
        <v>35.522524543494541</v>
      </c>
      <c r="W97" s="3">
        <f t="shared" si="208"/>
        <v>33.891671739267473</v>
      </c>
      <c r="X97" s="3">
        <f t="shared" si="209"/>
        <v>32.21394578181912</v>
      </c>
      <c r="Y97" s="3">
        <f t="shared" si="210"/>
        <v>30.447332843761398</v>
      </c>
      <c r="Z97" s="3">
        <f t="shared" si="211"/>
        <v>28.543370954425306</v>
      </c>
      <c r="AA97" s="3">
        <f t="shared" si="212"/>
        <v>26.444798539265946</v>
      </c>
      <c r="AB97" s="3">
        <f t="shared" si="213"/>
        <v>24.083300804585324</v>
      </c>
      <c r="AC97" s="3">
        <f t="shared" si="214"/>
        <v>21.378141101008978</v>
      </c>
      <c r="AD97" s="3">
        <f t="shared" si="215"/>
        <v>18.237511871318105</v>
      </c>
      <c r="AE97" s="3">
        <f t="shared" si="216"/>
        <v>14.566393618971507</v>
      </c>
      <c r="AF97" s="3">
        <f t="shared" si="217"/>
        <v>10.287937221901563</v>
      </c>
      <c r="AG97" s="3">
        <f t="shared" si="218"/>
        <v>5.389536808192279</v>
      </c>
      <c r="AH97" s="3">
        <v>0</v>
      </c>
      <c r="AI97"/>
      <c r="AJ97"/>
      <c r="AK97"/>
      <c r="AL97"/>
      <c r="AO97" s="17"/>
      <c r="AP97" s="3">
        <f t="shared" si="116"/>
        <v>-358800000</v>
      </c>
      <c r="AQ97" s="3">
        <f t="shared" si="117"/>
        <v>-258315409.12713087</v>
      </c>
      <c r="AR97" s="3">
        <f t="shared" si="118"/>
        <v>-239511946.75517619</v>
      </c>
      <c r="AS97" s="3">
        <f t="shared" si="119"/>
        <v>-222849148.15975356</v>
      </c>
      <c r="AT97" s="3">
        <f t="shared" si="120"/>
        <v>-208335780.92458066</v>
      </c>
      <c r="AU97" s="3">
        <f t="shared" si="121"/>
        <v>-195751425.52784649</v>
      </c>
      <c r="AV97" s="3">
        <f t="shared" si="122"/>
        <v>-184800952.74794322</v>
      </c>
      <c r="AW97" s="3">
        <f t="shared" si="123"/>
        <v>-175190478.3410551</v>
      </c>
      <c r="AX97" s="3">
        <f t="shared" si="124"/>
        <v>-166657237.91676703</v>
      </c>
      <c r="AY97" s="3">
        <f t="shared" si="125"/>
        <v>-158976223.8034502</v>
      </c>
      <c r="AZ97" s="3">
        <f t="shared" si="126"/>
        <v>-151956660.76690868</v>
      </c>
      <c r="BA97" s="3">
        <f t="shared" si="127"/>
        <v>-145434898.12699416</v>
      </c>
      <c r="BB97" s="3">
        <f t="shared" si="128"/>
        <v>-139266627.45392701</v>
      </c>
      <c r="BC97" s="3">
        <f t="shared" si="129"/>
        <v>-133319460.59756386</v>
      </c>
      <c r="BD97" s="3">
        <f t="shared" si="130"/>
        <v>-127466018.59322871</v>
      </c>
      <c r="BE97" s="3">
        <f t="shared" si="131"/>
        <v>-121577301.1896885</v>
      </c>
      <c r="BF97" s="3">
        <f t="shared" si="132"/>
        <v>-115515974.98746926</v>
      </c>
      <c r="BG97" s="3">
        <f t="shared" si="133"/>
        <v>-109129232.28664814</v>
      </c>
      <c r="BH97" s="3">
        <f t="shared" si="134"/>
        <v>-102241039.95169502</v>
      </c>
      <c r="BI97" s="3">
        <f t="shared" si="135"/>
        <v>-94644038.957644805</v>
      </c>
      <c r="BJ97" s="3">
        <f t="shared" si="136"/>
        <v>-86092353.783894345</v>
      </c>
      <c r="BK97" s="3">
        <f t="shared" si="137"/>
        <v>-76298659.983160421</v>
      </c>
      <c r="BL97" s="3">
        <f t="shared" si="138"/>
        <v>-64942906.698783025</v>
      </c>
      <c r="BM97" s="3">
        <f t="shared" si="139"/>
        <v>-51707183.217520677</v>
      </c>
      <c r="BN97" s="3">
        <f t="shared" si="140"/>
        <v>-36361661.264798723</v>
      </c>
      <c r="BO97" s="3">
        <f t="shared" si="141"/>
        <v>-18936092.818120744</v>
      </c>
      <c r="BP97" s="3">
        <f t="shared" si="142"/>
        <v>0</v>
      </c>
      <c r="BW97" s="17"/>
      <c r="BX97" s="3">
        <v>1</v>
      </c>
      <c r="BY97" s="3">
        <f t="shared" si="143"/>
        <v>0.17990274755383903</v>
      </c>
      <c r="BZ97" s="3">
        <f t="shared" si="144"/>
        <v>0.17990274755383903</v>
      </c>
      <c r="CA97" s="3">
        <f t="shared" si="145"/>
        <v>0.17990274755383903</v>
      </c>
      <c r="CB97" s="3">
        <f t="shared" si="146"/>
        <v>0.17990274755383903</v>
      </c>
      <c r="CC97" s="3">
        <f t="shared" si="147"/>
        <v>0.17990274755383903</v>
      </c>
      <c r="CD97" s="3">
        <f t="shared" si="148"/>
        <v>0.17990274755383903</v>
      </c>
      <c r="CE97" s="3">
        <f t="shared" si="149"/>
        <v>0.17990274755383903</v>
      </c>
      <c r="CF97" s="3">
        <f t="shared" si="150"/>
        <v>0.17990274755383903</v>
      </c>
      <c r="CG97" s="3">
        <f t="shared" si="151"/>
        <v>0.17990274755383903</v>
      </c>
      <c r="CH97" s="3">
        <f t="shared" si="152"/>
        <v>0.17990274755383903</v>
      </c>
      <c r="CI97" s="3">
        <f t="shared" si="153"/>
        <v>0.17990274755383903</v>
      </c>
      <c r="CJ97" s="3">
        <f t="shared" si="154"/>
        <v>0.17990274755383903</v>
      </c>
      <c r="CK97" s="3">
        <f t="shared" si="155"/>
        <v>0.17990274755383903</v>
      </c>
      <c r="CL97" s="3">
        <f t="shared" si="156"/>
        <v>0.17990274755383903</v>
      </c>
      <c r="CM97" s="3">
        <f t="shared" si="157"/>
        <v>0.17990274755383903</v>
      </c>
      <c r="CN97" s="3">
        <f t="shared" si="158"/>
        <v>0.17990274755383903</v>
      </c>
      <c r="CO97" s="3">
        <f t="shared" si="159"/>
        <v>0.17990274755383903</v>
      </c>
      <c r="CP97" s="3">
        <f t="shared" si="160"/>
        <v>0.17990274755383903</v>
      </c>
      <c r="CQ97" s="3">
        <f t="shared" si="161"/>
        <v>0.17990274755383903</v>
      </c>
      <c r="CR97" s="3">
        <f t="shared" si="162"/>
        <v>0.17990274755383903</v>
      </c>
      <c r="CS97" s="3">
        <f t="shared" si="163"/>
        <v>0.17990274755383903</v>
      </c>
      <c r="CT97" s="3">
        <f t="shared" si="164"/>
        <v>0.17990274755383903</v>
      </c>
      <c r="CU97" s="3">
        <f t="shared" si="165"/>
        <v>0.17990274755383903</v>
      </c>
      <c r="CV97" s="3">
        <f t="shared" si="166"/>
        <v>0.17990274755383903</v>
      </c>
      <c r="CW97" s="3">
        <f t="shared" si="167"/>
        <v>0.17990274755383903</v>
      </c>
      <c r="CX97" s="3">
        <f t="shared" si="168"/>
        <v>0.17990274755383903</v>
      </c>
      <c r="DE97" s="17"/>
      <c r="DF97" s="3">
        <v>100</v>
      </c>
      <c r="DG97" s="3">
        <f t="shared" si="169"/>
        <v>58.807392407185802</v>
      </c>
      <c r="DH97" s="3">
        <f t="shared" si="170"/>
        <v>54.407545232164026</v>
      </c>
      <c r="DI97" s="3">
        <f t="shared" si="171"/>
        <v>50.565078737900699</v>
      </c>
      <c r="DJ97" s="3">
        <f t="shared" si="172"/>
        <v>47.257964126997379</v>
      </c>
      <c r="DK97" s="3">
        <f t="shared" si="173"/>
        <v>44.417056376209381</v>
      </c>
      <c r="DL97" s="3">
        <f t="shared" si="174"/>
        <v>41.962540782579772</v>
      </c>
      <c r="DM97" s="3">
        <f t="shared" si="175"/>
        <v>39.819837379633839</v>
      </c>
      <c r="DN97" s="3">
        <f t="shared" si="176"/>
        <v>37.924757873307698</v>
      </c>
      <c r="DO97" s="3">
        <f t="shared" si="177"/>
        <v>36.223756304069745</v>
      </c>
      <c r="DP97" s="3">
        <f t="shared" si="178"/>
        <v>34.672293045234611</v>
      </c>
      <c r="DQ97" s="3">
        <f t="shared" si="179"/>
        <v>33.232702131006228</v>
      </c>
      <c r="DR97" s="3">
        <f t="shared" si="180"/>
        <v>31.872111998604105</v>
      </c>
      <c r="DS97" s="3">
        <f t="shared" si="181"/>
        <v>30.560571727609535</v>
      </c>
      <c r="DT97" s="3">
        <f t="shared" si="182"/>
        <v>29.269360800722712</v>
      </c>
      <c r="DU97" s="3">
        <f t="shared" si="183"/>
        <v>27.96939149472793</v>
      </c>
      <c r="DV97" s="3">
        <f t="shared" si="184"/>
        <v>26.629591111800007</v>
      </c>
      <c r="DW97" s="3">
        <f t="shared" si="185"/>
        <v>25.215153700544199</v>
      </c>
      <c r="DX97" s="3">
        <f t="shared" si="186"/>
        <v>23.685579209984869</v>
      </c>
      <c r="DY97" s="3">
        <f t="shared" si="187"/>
        <v>21.992498749757988</v>
      </c>
      <c r="DZ97" s="3">
        <f t="shared" si="188"/>
        <v>20.07748270729164</v>
      </c>
      <c r="EA97" s="3">
        <f t="shared" si="189"/>
        <v>17.870475015719919</v>
      </c>
      <c r="EB97" s="3">
        <f t="shared" si="190"/>
        <v>15.290430365401374</v>
      </c>
      <c r="EC97" s="3">
        <f t="shared" si="191"/>
        <v>12.251526466970059</v>
      </c>
      <c r="ED97" s="3">
        <f t="shared" si="192"/>
        <v>8.681394158253033</v>
      </c>
      <c r="EE97" s="3">
        <f t="shared" si="193"/>
        <v>4.5619965014383395</v>
      </c>
      <c r="EF97" s="3">
        <v>0</v>
      </c>
    </row>
    <row r="98" spans="7:136" x14ac:dyDescent="0.3">
      <c r="G98" s="16"/>
      <c r="H98" s="3">
        <f t="shared" ref="H98:H102" si="219">$C$13</f>
        <v>100</v>
      </c>
      <c r="I98" s="3">
        <f t="shared" si="194"/>
        <v>70.666323780328042</v>
      </c>
      <c r="J98" s="3">
        <f t="shared" si="195"/>
        <v>64.851914449818935</v>
      </c>
      <c r="K98" s="3">
        <f t="shared" si="196"/>
        <v>60.019174768311359</v>
      </c>
      <c r="L98" s="3">
        <f t="shared" si="197"/>
        <v>56.033505249064099</v>
      </c>
      <c r="M98" s="3">
        <f t="shared" si="198"/>
        <v>52.727099877277354</v>
      </c>
      <c r="N98" s="3">
        <f t="shared" si="199"/>
        <v>49.947994305068626</v>
      </c>
      <c r="O98" s="3">
        <f t="shared" si="200"/>
        <v>47.572704904198275</v>
      </c>
      <c r="P98" s="3">
        <f t="shared" si="201"/>
        <v>45.504957785766138</v>
      </c>
      <c r="Q98" s="3">
        <f t="shared" si="202"/>
        <v>43.670324309250191</v>
      </c>
      <c r="R98" s="3">
        <f t="shared" si="203"/>
        <v>42.01053440086951</v>
      </c>
      <c r="S98" s="3">
        <f t="shared" si="204"/>
        <v>40.478632500693458</v>
      </c>
      <c r="T98" s="3">
        <f t="shared" si="205"/>
        <v>39.035124444140997</v>
      </c>
      <c r="U98" s="3">
        <f t="shared" si="206"/>
        <v>37.644921097645835</v>
      </c>
      <c r="V98" s="3">
        <f t="shared" si="207"/>
        <v>36.274800534644413</v>
      </c>
      <c r="W98" s="3">
        <f t="shared" si="208"/>
        <v>34.891108552752868</v>
      </c>
      <c r="X98" s="3">
        <f t="shared" si="209"/>
        <v>33.457427667939086</v>
      </c>
      <c r="Y98" s="3">
        <f t="shared" si="210"/>
        <v>31.931944188106357</v>
      </c>
      <c r="Z98" s="3">
        <f t="shared" si="211"/>
        <v>30.264232781400978</v>
      </c>
      <c r="AA98" s="3">
        <f t="shared" si="212"/>
        <v>28.391185166472365</v>
      </c>
      <c r="AB98" s="3">
        <f t="shared" si="213"/>
        <v>26.231913113164371</v>
      </c>
      <c r="AC98" s="3">
        <f t="shared" si="214"/>
        <v>23.681854408714788</v>
      </c>
      <c r="AD98" s="3">
        <f t="shared" si="215"/>
        <v>20.60746958161717</v>
      </c>
      <c r="AE98" s="3">
        <f t="shared" si="216"/>
        <v>16.845858311412801</v>
      </c>
      <c r="AF98" s="3">
        <f t="shared" si="217"/>
        <v>12.220393031076972</v>
      </c>
      <c r="AG98" s="3">
        <f t="shared" si="218"/>
        <v>6.5975469139632299</v>
      </c>
      <c r="AH98" s="3">
        <v>0</v>
      </c>
      <c r="AI98"/>
      <c r="AJ98"/>
      <c r="AK98"/>
      <c r="AL98"/>
      <c r="AO98" s="17"/>
      <c r="AP98" s="3">
        <f t="shared" si="116"/>
        <v>-358800000</v>
      </c>
      <c r="AQ98" s="3">
        <f t="shared" si="117"/>
        <v>-254346145.12706223</v>
      </c>
      <c r="AR98" s="3">
        <f t="shared" si="118"/>
        <v>-233584327.82420525</v>
      </c>
      <c r="AS98" s="3">
        <f t="shared" si="119"/>
        <v>-216154003.69981867</v>
      </c>
      <c r="AT98" s="3">
        <f t="shared" si="120"/>
        <v>-201709691.02871692</v>
      </c>
      <c r="AU98" s="3">
        <f t="shared" si="121"/>
        <v>-189707086.4041982</v>
      </c>
      <c r="AV98" s="3">
        <f t="shared" si="122"/>
        <v>-179619190.67897436</v>
      </c>
      <c r="AW98" s="3">
        <f t="shared" si="123"/>
        <v>-171004625.81767386</v>
      </c>
      <c r="AX98" s="3">
        <f t="shared" si="124"/>
        <v>-163514006.02258795</v>
      </c>
      <c r="AY98" s="3">
        <f t="shared" si="125"/>
        <v>-156875228.52073473</v>
      </c>
      <c r="AZ98" s="3">
        <f t="shared" si="126"/>
        <v>-150874650.22213209</v>
      </c>
      <c r="BA98" s="3">
        <f t="shared" si="127"/>
        <v>-145340057.84208304</v>
      </c>
      <c r="BB98" s="3">
        <f t="shared" si="128"/>
        <v>-140126741.36269572</v>
      </c>
      <c r="BC98" s="3">
        <f t="shared" si="129"/>
        <v>-135106290.60665843</v>
      </c>
      <c r="BD98" s="3">
        <f t="shared" si="130"/>
        <v>-130157227.792753</v>
      </c>
      <c r="BE98" s="3">
        <f t="shared" si="131"/>
        <v>-125156497.38861695</v>
      </c>
      <c r="BF98" s="3">
        <f t="shared" si="132"/>
        <v>-119970842.72774893</v>
      </c>
      <c r="BG98" s="3">
        <f t="shared" si="133"/>
        <v>-114447098.55705976</v>
      </c>
      <c r="BH98" s="3">
        <f t="shared" si="134"/>
        <v>-108400425.95625038</v>
      </c>
      <c r="BI98" s="3">
        <f t="shared" si="135"/>
        <v>-101599637.37680049</v>
      </c>
      <c r="BJ98" s="3">
        <f t="shared" si="136"/>
        <v>-93749361.646051571</v>
      </c>
      <c r="BK98" s="3">
        <f t="shared" si="137"/>
        <v>-84470743.458667368</v>
      </c>
      <c r="BL98" s="3">
        <f t="shared" si="138"/>
        <v>-73287584.359760121</v>
      </c>
      <c r="BM98" s="3">
        <f t="shared" si="139"/>
        <v>-59637250.972092837</v>
      </c>
      <c r="BN98" s="3">
        <f t="shared" si="140"/>
        <v>-42952277.021590158</v>
      </c>
      <c r="BO98" s="3">
        <f t="shared" si="141"/>
        <v>-22908023.641230218</v>
      </c>
      <c r="BP98" s="3">
        <f t="shared" si="142"/>
        <v>0</v>
      </c>
      <c r="BW98" s="17"/>
      <c r="BX98" s="3">
        <v>1</v>
      </c>
      <c r="BY98" s="3">
        <f t="shared" si="143"/>
        <v>0.17990274157194241</v>
      </c>
      <c r="BZ98" s="3">
        <f t="shared" si="144"/>
        <v>0.17990274157194241</v>
      </c>
      <c r="CA98" s="3">
        <f t="shared" si="145"/>
        <v>0.17990274157194241</v>
      </c>
      <c r="CB98" s="3">
        <f t="shared" si="146"/>
        <v>0.17990274157194241</v>
      </c>
      <c r="CC98" s="3">
        <f t="shared" si="147"/>
        <v>0.17990274157194241</v>
      </c>
      <c r="CD98" s="3">
        <f t="shared" si="148"/>
        <v>0.17990274157194241</v>
      </c>
      <c r="CE98" s="3">
        <f t="shared" si="149"/>
        <v>0.17990274157194241</v>
      </c>
      <c r="CF98" s="3">
        <f t="shared" si="150"/>
        <v>0.17990274157194241</v>
      </c>
      <c r="CG98" s="3">
        <f t="shared" si="151"/>
        <v>0.17990274157194241</v>
      </c>
      <c r="CH98" s="3">
        <f t="shared" si="152"/>
        <v>0.17990274157194241</v>
      </c>
      <c r="CI98" s="3">
        <f t="shared" si="153"/>
        <v>0.17990274157194241</v>
      </c>
      <c r="CJ98" s="3">
        <f t="shared" si="154"/>
        <v>0.17990274157194241</v>
      </c>
      <c r="CK98" s="3">
        <f t="shared" si="155"/>
        <v>0.17990274157194241</v>
      </c>
      <c r="CL98" s="3">
        <f t="shared" si="156"/>
        <v>0.17990274157194241</v>
      </c>
      <c r="CM98" s="3">
        <f t="shared" si="157"/>
        <v>0.17990274157194241</v>
      </c>
      <c r="CN98" s="3">
        <f t="shared" si="158"/>
        <v>0.17990274157194241</v>
      </c>
      <c r="CO98" s="3">
        <f t="shared" si="159"/>
        <v>0.17990274157194241</v>
      </c>
      <c r="CP98" s="3">
        <f t="shared" si="160"/>
        <v>0.17990274157194241</v>
      </c>
      <c r="CQ98" s="3">
        <f t="shared" si="161"/>
        <v>0.17990274157194241</v>
      </c>
      <c r="CR98" s="3">
        <f t="shared" si="162"/>
        <v>0.17990274157194241</v>
      </c>
      <c r="CS98" s="3">
        <f t="shared" si="163"/>
        <v>0.17990274157194241</v>
      </c>
      <c r="CT98" s="3">
        <f t="shared" si="164"/>
        <v>0.17990274157194241</v>
      </c>
      <c r="CU98" s="3">
        <f t="shared" si="165"/>
        <v>0.17990274157194241</v>
      </c>
      <c r="CV98" s="3">
        <f t="shared" si="166"/>
        <v>0.17990274157194241</v>
      </c>
      <c r="CW98" s="3">
        <f t="shared" si="167"/>
        <v>0.17990274157194241</v>
      </c>
      <c r="CX98" s="3">
        <f t="shared" si="168"/>
        <v>0.17990274157194241</v>
      </c>
      <c r="DE98" s="17"/>
      <c r="DF98" s="3">
        <v>100</v>
      </c>
      <c r="DG98" s="3">
        <f t="shared" si="169"/>
        <v>57.736571961868229</v>
      </c>
      <c r="DH98" s="3">
        <f t="shared" si="170"/>
        <v>52.871741802231647</v>
      </c>
      <c r="DI98" s="3">
        <f t="shared" si="171"/>
        <v>48.874713157563932</v>
      </c>
      <c r="DJ98" s="3">
        <f t="shared" si="172"/>
        <v>45.613902412994108</v>
      </c>
      <c r="DK98" s="3">
        <f t="shared" si="173"/>
        <v>42.934625629491599</v>
      </c>
      <c r="DL98" s="3">
        <f t="shared" si="174"/>
        <v>40.700733451207888</v>
      </c>
      <c r="DM98" s="3">
        <f t="shared" si="175"/>
        <v>38.803876927312004</v>
      </c>
      <c r="DN98" s="3">
        <f t="shared" si="176"/>
        <v>37.161044975381941</v>
      </c>
      <c r="DO98" s="3">
        <f t="shared" si="177"/>
        <v>35.709042521505566</v>
      </c>
      <c r="DP98" s="3">
        <f t="shared" si="178"/>
        <v>34.399068759589596</v>
      </c>
      <c r="DQ98" s="3">
        <f t="shared" si="179"/>
        <v>33.192268518908101</v>
      </c>
      <c r="DR98" s="3">
        <f t="shared" si="180"/>
        <v>32.056283238848152</v>
      </c>
      <c r="DS98" s="3">
        <f t="shared" si="181"/>
        <v>30.962568768651391</v>
      </c>
      <c r="DT98" s="3">
        <f t="shared" si="182"/>
        <v>29.884200981713132</v>
      </c>
      <c r="DU98" s="3">
        <f t="shared" si="183"/>
        <v>28.79390389040233</v>
      </c>
      <c r="DV98" s="3">
        <f t="shared" si="184"/>
        <v>27.662050504939913</v>
      </c>
      <c r="DW98" s="3">
        <f t="shared" si="185"/>
        <v>26.454385535960235</v>
      </c>
      <c r="DX98" s="3">
        <f t="shared" si="186"/>
        <v>25.129202092994912</v>
      </c>
      <c r="DY98" s="3">
        <f t="shared" si="187"/>
        <v>23.633693408940722</v>
      </c>
      <c r="DZ98" s="3">
        <f t="shared" si="188"/>
        <v>21.899261272317705</v>
      </c>
      <c r="EA98" s="3">
        <f t="shared" si="189"/>
        <v>19.835868214931448</v>
      </c>
      <c r="EB98" s="3">
        <f t="shared" si="190"/>
        <v>17.326491196516198</v>
      </c>
      <c r="EC98" s="3">
        <f t="shared" si="191"/>
        <v>14.225324164543778</v>
      </c>
      <c r="ED98" s="3">
        <f t="shared" si="192"/>
        <v>10.369564919736847</v>
      </c>
      <c r="EE98" s="3">
        <f t="shared" si="193"/>
        <v>5.6279544663665426</v>
      </c>
      <c r="EF98" s="3">
        <v>0</v>
      </c>
    </row>
    <row r="99" spans="7:136" x14ac:dyDescent="0.3">
      <c r="G99" s="16"/>
      <c r="H99" s="3">
        <f t="shared" si="219"/>
        <v>100</v>
      </c>
      <c r="I99" s="3">
        <f t="shared" si="194"/>
        <v>68.633130263240929</v>
      </c>
      <c r="J99" s="3">
        <f t="shared" si="195"/>
        <v>62.17811470768617</v>
      </c>
      <c r="K99" s="3">
        <f t="shared" si="196"/>
        <v>57.252231745114393</v>
      </c>
      <c r="L99" s="3">
        <f t="shared" si="197"/>
        <v>53.45982068122224</v>
      </c>
      <c r="M99" s="3">
        <f t="shared" si="198"/>
        <v>50.478001568003549</v>
      </c>
      <c r="N99" s="3">
        <f t="shared" si="199"/>
        <v>48.071740080108057</v>
      </c>
      <c r="O99" s="3">
        <f t="shared" si="200"/>
        <v>46.076444233855192</v>
      </c>
      <c r="P99" s="3">
        <f t="shared" si="201"/>
        <v>44.377409282944569</v>
      </c>
      <c r="Q99" s="3">
        <f t="shared" si="202"/>
        <v>42.89348508756914</v>
      </c>
      <c r="R99" s="3">
        <f t="shared" si="203"/>
        <v>41.56552869248376</v>
      </c>
      <c r="S99" s="3">
        <f t="shared" si="204"/>
        <v>40.348548903379374</v>
      </c>
      <c r="T99" s="3">
        <f t="shared" si="205"/>
        <v>39.206352033759785</v>
      </c>
      <c r="U99" s="3">
        <f t="shared" si="206"/>
        <v>38.107756126873262</v>
      </c>
      <c r="V99" s="3">
        <f t="shared" si="207"/>
        <v>37.023697037366738</v>
      </c>
      <c r="W99" s="3">
        <f t="shared" si="208"/>
        <v>35.924720925686294</v>
      </c>
      <c r="X99" s="3">
        <f t="shared" si="209"/>
        <v>34.778437561907474</v>
      </c>
      <c r="Y99" s="3">
        <f t="shared" si="210"/>
        <v>33.5465026945189</v>
      </c>
      <c r="Z99" s="3">
        <f t="shared" si="211"/>
        <v>32.180604543245721</v>
      </c>
      <c r="AA99" s="3">
        <f t="shared" si="212"/>
        <v>30.61674255571495</v>
      </c>
      <c r="AB99" s="3">
        <f t="shared" si="213"/>
        <v>28.766814988537327</v>
      </c>
      <c r="AC99" s="3">
        <f t="shared" si="214"/>
        <v>26.506274726246996</v>
      </c>
      <c r="AD99" s="3">
        <f t="shared" si="215"/>
        <v>23.656785877273393</v>
      </c>
      <c r="AE99" s="3">
        <f t="shared" si="216"/>
        <v>19.964797927828368</v>
      </c>
      <c r="AF99" s="3">
        <f t="shared" si="217"/>
        <v>15.084852275897287</v>
      </c>
      <c r="AG99" s="3">
        <f t="shared" si="218"/>
        <v>8.6015687199098672</v>
      </c>
      <c r="AH99" s="3">
        <v>0</v>
      </c>
      <c r="AI99"/>
      <c r="AJ99"/>
      <c r="AK99"/>
      <c r="AL99"/>
      <c r="AO99" s="17"/>
      <c r="AP99" s="3">
        <f t="shared" si="116"/>
        <v>-358800000</v>
      </c>
      <c r="AQ99" s="3">
        <f t="shared" si="117"/>
        <v>-247814733.51581919</v>
      </c>
      <c r="AR99" s="3">
        <f t="shared" si="118"/>
        <v>-224516785.82977444</v>
      </c>
      <c r="AS99" s="3">
        <f t="shared" si="119"/>
        <v>-206520733.11828354</v>
      </c>
      <c r="AT99" s="3">
        <f t="shared" si="120"/>
        <v>-192617163.67886013</v>
      </c>
      <c r="AU99" s="3">
        <f t="shared" si="121"/>
        <v>-181692589.91826415</v>
      </c>
      <c r="AV99" s="3">
        <f t="shared" si="122"/>
        <v>-172897778.32717818</v>
      </c>
      <c r="AW99" s="3">
        <f t="shared" si="123"/>
        <v>-165625652.00588918</v>
      </c>
      <c r="AX99" s="3">
        <f t="shared" si="124"/>
        <v>-159449594.77236539</v>
      </c>
      <c r="AY99" s="3">
        <f t="shared" si="125"/>
        <v>-154067226.11649501</v>
      </c>
      <c r="AZ99" s="3">
        <f t="shared" si="126"/>
        <v>-149258530.35370556</v>
      </c>
      <c r="BA99" s="3">
        <f t="shared" si="127"/>
        <v>-144856699.19754443</v>
      </c>
      <c r="BB99" s="3">
        <f t="shared" si="128"/>
        <v>-140728052.74299681</v>
      </c>
      <c r="BC99" s="3">
        <f t="shared" si="129"/>
        <v>-136757793.58151588</v>
      </c>
      <c r="BD99" s="3">
        <f t="shared" si="130"/>
        <v>-132839116.95603201</v>
      </c>
      <c r="BE99" s="3">
        <f t="shared" si="131"/>
        <v>-128863783.38958679</v>
      </c>
      <c r="BF99" s="3">
        <f t="shared" si="132"/>
        <v>-124712544.58572915</v>
      </c>
      <c r="BG99" s="3">
        <f t="shared" si="133"/>
        <v>-120243790.69495296</v>
      </c>
      <c r="BH99" s="3">
        <f t="shared" si="134"/>
        <v>-115278454.7647201</v>
      </c>
      <c r="BI99" s="3">
        <f t="shared" si="135"/>
        <v>-109578576.2349923</v>
      </c>
      <c r="BJ99" s="3">
        <f t="shared" si="136"/>
        <v>-102816126.94673832</v>
      </c>
      <c r="BK99" s="3">
        <f t="shared" si="137"/>
        <v>-94528398.384193555</v>
      </c>
      <c r="BL99" s="3">
        <f t="shared" si="138"/>
        <v>-84058747.756372064</v>
      </c>
      <c r="BM99" s="3">
        <f t="shared" si="139"/>
        <v>-70493822.783411369</v>
      </c>
      <c r="BN99" s="3">
        <f t="shared" si="140"/>
        <v>-52649981.158584617</v>
      </c>
      <c r="BO99" s="3">
        <f t="shared" si="141"/>
        <v>-29282054.879244931</v>
      </c>
      <c r="BP99" s="3">
        <f t="shared" si="142"/>
        <v>0</v>
      </c>
      <c r="BW99" s="17"/>
      <c r="BX99" s="3">
        <v>1</v>
      </c>
      <c r="BY99" s="3">
        <f t="shared" si="143"/>
        <v>0.179902556745832</v>
      </c>
      <c r="BZ99" s="3">
        <f t="shared" si="144"/>
        <v>0.179902556745832</v>
      </c>
      <c r="CA99" s="3">
        <f t="shared" si="145"/>
        <v>0.179902556745832</v>
      </c>
      <c r="CB99" s="3">
        <f t="shared" si="146"/>
        <v>0.179902556745832</v>
      </c>
      <c r="CC99" s="3">
        <f t="shared" si="147"/>
        <v>0.179902556745832</v>
      </c>
      <c r="CD99" s="3">
        <f t="shared" si="148"/>
        <v>0.179902556745832</v>
      </c>
      <c r="CE99" s="3">
        <f t="shared" si="149"/>
        <v>0.179902556745832</v>
      </c>
      <c r="CF99" s="3">
        <f t="shared" si="150"/>
        <v>0.179902556745832</v>
      </c>
      <c r="CG99" s="3">
        <f t="shared" si="151"/>
        <v>0.179902556745832</v>
      </c>
      <c r="CH99" s="3">
        <f t="shared" si="152"/>
        <v>0.179902556745832</v>
      </c>
      <c r="CI99" s="3">
        <f t="shared" si="153"/>
        <v>0.179902556745832</v>
      </c>
      <c r="CJ99" s="3">
        <f t="shared" si="154"/>
        <v>0.179902556745832</v>
      </c>
      <c r="CK99" s="3">
        <f t="shared" si="155"/>
        <v>0.179902556745832</v>
      </c>
      <c r="CL99" s="3">
        <f t="shared" si="156"/>
        <v>0.179902556745832</v>
      </c>
      <c r="CM99" s="3">
        <f t="shared" si="157"/>
        <v>0.179902556745832</v>
      </c>
      <c r="CN99" s="3">
        <f t="shared" si="158"/>
        <v>0.179902556745832</v>
      </c>
      <c r="CO99" s="3">
        <f t="shared" si="159"/>
        <v>0.179902556745832</v>
      </c>
      <c r="CP99" s="3">
        <f t="shared" si="160"/>
        <v>0.179902556745832</v>
      </c>
      <c r="CQ99" s="3">
        <f t="shared" si="161"/>
        <v>0.179902556745832</v>
      </c>
      <c r="CR99" s="3">
        <f t="shared" si="162"/>
        <v>0.179902556745832</v>
      </c>
      <c r="CS99" s="3">
        <f t="shared" si="163"/>
        <v>0.179902556745832</v>
      </c>
      <c r="CT99" s="3">
        <f t="shared" si="164"/>
        <v>0.179902556745832</v>
      </c>
      <c r="CU99" s="3">
        <f t="shared" si="165"/>
        <v>0.179902556745832</v>
      </c>
      <c r="CV99" s="3">
        <f t="shared" si="166"/>
        <v>0.179902556745832</v>
      </c>
      <c r="CW99" s="3">
        <f t="shared" si="167"/>
        <v>0.179902556745832</v>
      </c>
      <c r="CX99" s="3">
        <f t="shared" si="168"/>
        <v>0.179902556745832</v>
      </c>
      <c r="DE99" s="17"/>
      <c r="DF99" s="3">
        <v>100</v>
      </c>
      <c r="DG99" s="3">
        <f t="shared" si="169"/>
        <v>55.920077939331122</v>
      </c>
      <c r="DH99" s="3">
        <f t="shared" si="170"/>
        <v>50.511089488301778</v>
      </c>
      <c r="DI99" s="3">
        <f t="shared" si="171"/>
        <v>46.45462875052025</v>
      </c>
      <c r="DJ99" s="3">
        <f t="shared" si="172"/>
        <v>43.379249823484614</v>
      </c>
      <c r="DK99" s="3">
        <f t="shared" si="173"/>
        <v>40.992261490288506</v>
      </c>
      <c r="DL99" s="3">
        <f t="shared" si="174"/>
        <v>39.085968200299952</v>
      </c>
      <c r="DM99" s="3">
        <f t="shared" si="175"/>
        <v>37.517992990274941</v>
      </c>
      <c r="DN99" s="3">
        <f t="shared" si="176"/>
        <v>36.190951032674086</v>
      </c>
      <c r="DO99" s="3">
        <f t="shared" si="177"/>
        <v>35.037082090415367</v>
      </c>
      <c r="DP99" s="3">
        <f t="shared" si="178"/>
        <v>34.007726143508606</v>
      </c>
      <c r="DQ99" s="3">
        <f t="shared" si="179"/>
        <v>33.066339422929687</v>
      </c>
      <c r="DR99" s="3">
        <f t="shared" si="180"/>
        <v>32.183833343367098</v>
      </c>
      <c r="DS99" s="3">
        <f t="shared" si="181"/>
        <v>31.335338572911667</v>
      </c>
      <c r="DT99" s="3">
        <f t="shared" si="182"/>
        <v>30.497767675739137</v>
      </c>
      <c r="DU99" s="3">
        <f t="shared" si="183"/>
        <v>29.647721289349686</v>
      </c>
      <c r="DV99" s="3">
        <f t="shared" si="184"/>
        <v>28.759360782306494</v>
      </c>
      <c r="DW99" s="3">
        <f t="shared" si="185"/>
        <v>27.801864293213352</v>
      </c>
      <c r="DX99" s="3">
        <f t="shared" si="186"/>
        <v>26.735991687920659</v>
      </c>
      <c r="DY99" s="3">
        <f t="shared" si="187"/>
        <v>25.50909575522223</v>
      </c>
      <c r="DZ99" s="3">
        <f t="shared" si="188"/>
        <v>24.047626751144538</v>
      </c>
      <c r="EA99" s="3">
        <f t="shared" si="189"/>
        <v>22.245848569636653</v>
      </c>
      <c r="EB99" s="3">
        <f t="shared" si="190"/>
        <v>19.949449411478504</v>
      </c>
      <c r="EC99" s="3">
        <f t="shared" si="191"/>
        <v>16.93418494702718</v>
      </c>
      <c r="ED99" s="3">
        <f t="shared" si="192"/>
        <v>12.886372325167592</v>
      </c>
      <c r="EE99" s="3">
        <f t="shared" si="193"/>
        <v>7.4146531618373075</v>
      </c>
      <c r="EF99" s="3">
        <v>0</v>
      </c>
    </row>
    <row r="100" spans="7:136" x14ac:dyDescent="0.3">
      <c r="G100" s="16"/>
      <c r="H100" s="3">
        <f t="shared" si="219"/>
        <v>100</v>
      </c>
      <c r="I100" s="3">
        <f t="shared" si="194"/>
        <v>64.975495883841376</v>
      </c>
      <c r="J100" s="3">
        <f t="shared" si="195"/>
        <v>58.02298577921033</v>
      </c>
      <c r="K100" s="3">
        <f t="shared" si="196"/>
        <v>53.339446491896084</v>
      </c>
      <c r="L100" s="3">
        <f t="shared" si="197"/>
        <v>50.049121795842282</v>
      </c>
      <c r="M100" s="3">
        <f t="shared" si="198"/>
        <v>47.627164852842697</v>
      </c>
      <c r="N100" s="3">
        <f t="shared" si="199"/>
        <v>45.761650397213494</v>
      </c>
      <c r="O100" s="3">
        <f t="shared" si="200"/>
        <v>44.264091748742942</v>
      </c>
      <c r="P100" s="3">
        <f t="shared" si="201"/>
        <v>43.017040205412641</v>
      </c>
      <c r="Q100" s="3">
        <f t="shared" si="202"/>
        <v>41.944308183793254</v>
      </c>
      <c r="R100" s="3">
        <f t="shared" si="203"/>
        <v>40.994018149894536</v>
      </c>
      <c r="S100" s="3">
        <f t="shared" si="204"/>
        <v>40.128748759760171</v>
      </c>
      <c r="T100" s="3">
        <f t="shared" si="205"/>
        <v>39.319583825652821</v>
      </c>
      <c r="U100" s="3">
        <f t="shared" si="206"/>
        <v>38.542287419776244</v>
      </c>
      <c r="V100" s="3">
        <f t="shared" si="207"/>
        <v>37.774581566037455</v>
      </c>
      <c r="W100" s="3">
        <f t="shared" si="208"/>
        <v>36.99387920335122</v>
      </c>
      <c r="X100" s="3">
        <f t="shared" si="209"/>
        <v>36.17497665960606</v>
      </c>
      <c r="Y100" s="3">
        <f t="shared" si="210"/>
        <v>35.287198823924093</v>
      </c>
      <c r="Z100" s="3">
        <f t="shared" si="211"/>
        <v>34.290311798428348</v>
      </c>
      <c r="AA100" s="3">
        <f t="shared" si="212"/>
        <v>33.128098510019903</v>
      </c>
      <c r="AB100" s="3">
        <f t="shared" si="213"/>
        <v>31.71766262931833</v>
      </c>
      <c r="AC100" s="3">
        <f t="shared" si="214"/>
        <v>29.930969574523157</v>
      </c>
      <c r="AD100" s="3">
        <f t="shared" si="215"/>
        <v>27.562364041646813</v>
      </c>
      <c r="AE100" s="3">
        <f t="shared" si="216"/>
        <v>24.271409871393175</v>
      </c>
      <c r="AF100" s="3">
        <f t="shared" si="217"/>
        <v>19.485611667284662</v>
      </c>
      <c r="AG100" s="3">
        <f t="shared" si="218"/>
        <v>12.252236637396576</v>
      </c>
      <c r="AH100" s="3">
        <v>0</v>
      </c>
      <c r="AI100"/>
      <c r="AJ100"/>
      <c r="AK100"/>
      <c r="AL100"/>
      <c r="AO100" s="17"/>
      <c r="AP100" s="3">
        <f t="shared" si="116"/>
        <v>-358800000</v>
      </c>
      <c r="AQ100" s="3">
        <f t="shared" si="117"/>
        <v>-236466175.26551911</v>
      </c>
      <c r="AR100" s="3">
        <f t="shared" si="118"/>
        <v>-210435385.98429871</v>
      </c>
      <c r="AS100" s="3">
        <f t="shared" si="119"/>
        <v>-192802923.86148188</v>
      </c>
      <c r="AT100" s="3">
        <f t="shared" si="120"/>
        <v>-180469664.84468415</v>
      </c>
      <c r="AU100" s="3">
        <f t="shared" si="121"/>
        <v>-171459517.99043927</v>
      </c>
      <c r="AV100" s="3">
        <f t="shared" si="122"/>
        <v>-164572025.46392792</v>
      </c>
      <c r="AW100" s="3">
        <f t="shared" si="123"/>
        <v>-159078588.69694325</v>
      </c>
      <c r="AX100" s="3">
        <f t="shared" si="124"/>
        <v>-154526962.13453645</v>
      </c>
      <c r="AY100" s="3">
        <f t="shared" si="125"/>
        <v>-150626002.0749487</v>
      </c>
      <c r="AZ100" s="3">
        <f t="shared" si="126"/>
        <v>-147179222.86238298</v>
      </c>
      <c r="BA100" s="3">
        <f t="shared" si="127"/>
        <v>-144046137.16644815</v>
      </c>
      <c r="BB100" s="3">
        <f t="shared" si="128"/>
        <v>-141119027.78155497</v>
      </c>
      <c r="BC100" s="3">
        <f t="shared" si="129"/>
        <v>-138308137.6800189</v>
      </c>
      <c r="BD100" s="3">
        <f t="shared" si="130"/>
        <v>-135531217.31351364</v>
      </c>
      <c r="BE100" s="3">
        <f t="shared" si="131"/>
        <v>-132704867.99159379</v>
      </c>
      <c r="BF100" s="3">
        <f t="shared" si="132"/>
        <v>-129735728.0046943</v>
      </c>
      <c r="BG100" s="3">
        <f t="shared" si="133"/>
        <v>-126509503.47588781</v>
      </c>
      <c r="BH100" s="3">
        <f t="shared" si="134"/>
        <v>-122875129.91334595</v>
      </c>
      <c r="BI100" s="3">
        <f t="shared" si="135"/>
        <v>-118619679.38032058</v>
      </c>
      <c r="BJ100" s="3">
        <f t="shared" si="136"/>
        <v>-113426379.25699532</v>
      </c>
      <c r="BK100" s="3">
        <f t="shared" si="137"/>
        <v>-106802270.76791239</v>
      </c>
      <c r="BL100" s="3">
        <f t="shared" si="138"/>
        <v>-97952663.594973832</v>
      </c>
      <c r="BM100" s="3">
        <f t="shared" si="139"/>
        <v>-85568747.443305269</v>
      </c>
      <c r="BN100" s="3">
        <f t="shared" si="140"/>
        <v>-67501078.401279539</v>
      </c>
      <c r="BO100" s="3">
        <f t="shared" si="141"/>
        <v>-40403135.435989477</v>
      </c>
      <c r="BP100" s="3">
        <f t="shared" si="142"/>
        <v>0</v>
      </c>
      <c r="BW100" s="17"/>
      <c r="BX100" s="3">
        <v>1</v>
      </c>
      <c r="BY100" s="3">
        <f t="shared" si="143"/>
        <v>0.17989684606081083</v>
      </c>
      <c r="BZ100" s="3">
        <f t="shared" si="144"/>
        <v>0.17989684606081083</v>
      </c>
      <c r="CA100" s="3">
        <f t="shared" si="145"/>
        <v>0.17989684606081083</v>
      </c>
      <c r="CB100" s="3">
        <f t="shared" si="146"/>
        <v>0.17989684606081083</v>
      </c>
      <c r="CC100" s="3">
        <f t="shared" si="147"/>
        <v>0.17989684606081083</v>
      </c>
      <c r="CD100" s="3">
        <f t="shared" si="148"/>
        <v>0.17989684606081083</v>
      </c>
      <c r="CE100" s="3">
        <f t="shared" si="149"/>
        <v>0.17989684606081083</v>
      </c>
      <c r="CF100" s="3">
        <f t="shared" si="150"/>
        <v>0.17989684606081083</v>
      </c>
      <c r="CG100" s="3">
        <f t="shared" si="151"/>
        <v>0.17989684606081083</v>
      </c>
      <c r="CH100" s="3">
        <f t="shared" si="152"/>
        <v>0.17989684606081083</v>
      </c>
      <c r="CI100" s="3">
        <f t="shared" si="153"/>
        <v>0.17989684606081083</v>
      </c>
      <c r="CJ100" s="3">
        <f t="shared" si="154"/>
        <v>0.17989684606081083</v>
      </c>
      <c r="CK100" s="3">
        <f t="shared" si="155"/>
        <v>0.17989684606081083</v>
      </c>
      <c r="CL100" s="3">
        <f t="shared" si="156"/>
        <v>0.17989684606081083</v>
      </c>
      <c r="CM100" s="3">
        <f t="shared" si="157"/>
        <v>0.17989684606081083</v>
      </c>
      <c r="CN100" s="3">
        <f t="shared" si="158"/>
        <v>0.17989684606081083</v>
      </c>
      <c r="CO100" s="3">
        <f t="shared" si="159"/>
        <v>0.17989684606081083</v>
      </c>
      <c r="CP100" s="3">
        <f t="shared" si="160"/>
        <v>0.17989684606081083</v>
      </c>
      <c r="CQ100" s="3">
        <f t="shared" si="161"/>
        <v>0.17989684606081083</v>
      </c>
      <c r="CR100" s="3">
        <f t="shared" si="162"/>
        <v>0.17989684606081083</v>
      </c>
      <c r="CS100" s="3">
        <f t="shared" si="163"/>
        <v>0.17989684606081083</v>
      </c>
      <c r="CT100" s="3">
        <f t="shared" si="164"/>
        <v>0.17989684606081083</v>
      </c>
      <c r="CU100" s="3">
        <f t="shared" si="165"/>
        <v>0.17989684606081083</v>
      </c>
      <c r="CV100" s="3">
        <f t="shared" si="166"/>
        <v>0.17989684606081083</v>
      </c>
      <c r="CW100" s="3">
        <f t="shared" si="167"/>
        <v>0.17989684606081083</v>
      </c>
      <c r="CX100" s="3">
        <f t="shared" si="168"/>
        <v>0.17989684606081083</v>
      </c>
      <c r="DE100" s="17"/>
      <c r="DF100" s="3">
        <v>100</v>
      </c>
      <c r="DG100" s="3">
        <f t="shared" si="169"/>
        <v>52.62861221420355</v>
      </c>
      <c r="DH100" s="3">
        <f t="shared" si="170"/>
        <v>46.837339049290271</v>
      </c>
      <c r="DI100" s="3">
        <f t="shared" si="171"/>
        <v>43.039950571007374</v>
      </c>
      <c r="DJ100" s="3">
        <f t="shared" si="172"/>
        <v>40.431868664313896</v>
      </c>
      <c r="DK100" s="3">
        <f t="shared" si="173"/>
        <v>38.546331575306191</v>
      </c>
      <c r="DL100" s="3">
        <f t="shared" si="174"/>
        <v>37.113695972146985</v>
      </c>
      <c r="DM100" s="3">
        <f t="shared" si="175"/>
        <v>35.975084753375562</v>
      </c>
      <c r="DN100" s="3">
        <f t="shared" si="176"/>
        <v>35.033684239061166</v>
      </c>
      <c r="DO100" s="3">
        <f t="shared" si="177"/>
        <v>34.227905499983144</v>
      </c>
      <c r="DP100" s="3">
        <f t="shared" si="178"/>
        <v>33.51651063326657</v>
      </c>
      <c r="DQ100" s="3">
        <f t="shared" si="179"/>
        <v>32.870172068911835</v>
      </c>
      <c r="DR100" s="3">
        <f t="shared" si="180"/>
        <v>32.266484749229576</v>
      </c>
      <c r="DS100" s="3">
        <f t="shared" si="181"/>
        <v>31.686822282097204</v>
      </c>
      <c r="DT100" s="3">
        <f t="shared" si="182"/>
        <v>31.11413523950419</v>
      </c>
      <c r="DU100" s="3">
        <f t="shared" si="183"/>
        <v>30.531135213205445</v>
      </c>
      <c r="DV100" s="3">
        <f t="shared" si="184"/>
        <v>29.918445431296071</v>
      </c>
      <c r="DW100" s="3">
        <f t="shared" si="185"/>
        <v>29.252288792809654</v>
      </c>
      <c r="DX100" s="3">
        <f t="shared" si="186"/>
        <v>28.501122536768246</v>
      </c>
      <c r="DY100" s="3">
        <f t="shared" si="187"/>
        <v>27.620243087590975</v>
      </c>
      <c r="DZ100" s="3">
        <f t="shared" si="188"/>
        <v>26.542603341665604</v>
      </c>
      <c r="EA100" s="3">
        <f t="shared" si="189"/>
        <v>25.16257435044994</v>
      </c>
      <c r="EB100" s="3">
        <f t="shared" si="190"/>
        <v>23.306582874389399</v>
      </c>
      <c r="EC100" s="3">
        <f t="shared" si="191"/>
        <v>20.679805691935439</v>
      </c>
      <c r="ED100" s="3">
        <f t="shared" si="192"/>
        <v>16.771894319557497</v>
      </c>
      <c r="EE100" s="3">
        <f t="shared" si="193"/>
        <v>10.704841553509466</v>
      </c>
      <c r="EF100" s="3">
        <v>0</v>
      </c>
    </row>
    <row r="101" spans="7:136" x14ac:dyDescent="0.3">
      <c r="G101" s="16"/>
      <c r="H101" s="3">
        <f t="shared" si="219"/>
        <v>100</v>
      </c>
      <c r="I101" s="3">
        <f t="shared" si="194"/>
        <v>57.843951306628711</v>
      </c>
      <c r="J101" s="3">
        <f t="shared" si="195"/>
        <v>51.524636453411972</v>
      </c>
      <c r="K101" s="3">
        <f t="shared" si="196"/>
        <v>47.946082672518088</v>
      </c>
      <c r="L101" s="3">
        <f t="shared" si="197"/>
        <v>45.707541985103873</v>
      </c>
      <c r="M101" s="3">
        <f t="shared" si="198"/>
        <v>44.1790385779492</v>
      </c>
      <c r="N101" s="3">
        <f t="shared" si="199"/>
        <v>43.056434255137077</v>
      </c>
      <c r="O101" s="3">
        <f t="shared" si="200"/>
        <v>42.181849532491775</v>
      </c>
      <c r="P101" s="3">
        <f t="shared" si="201"/>
        <v>41.467224612846174</v>
      </c>
      <c r="Q101" s="3">
        <f t="shared" si="202"/>
        <v>40.859862830938688</v>
      </c>
      <c r="R101" s="3">
        <f t="shared" si="203"/>
        <v>40.325935122285131</v>
      </c>
      <c r="S101" s="3">
        <f t="shared" si="204"/>
        <v>39.842070356162573</v>
      </c>
      <c r="T101" s="3">
        <f t="shared" si="205"/>
        <v>39.39076207723042</v>
      </c>
      <c r="U101" s="3">
        <f t="shared" si="206"/>
        <v>38.957636260314949</v>
      </c>
      <c r="V101" s="3">
        <f t="shared" si="207"/>
        <v>38.529614396479843</v>
      </c>
      <c r="W101" s="3">
        <f t="shared" si="208"/>
        <v>38.093431329645696</v>
      </c>
      <c r="X101" s="3">
        <f t="shared" si="209"/>
        <v>37.634123787247461</v>
      </c>
      <c r="Y101" s="3">
        <f t="shared" si="210"/>
        <v>37.133094827943417</v>
      </c>
      <c r="Z101" s="3">
        <f t="shared" si="211"/>
        <v>36.565174885520108</v>
      </c>
      <c r="AA101" s="3">
        <f t="shared" si="212"/>
        <v>35.893621996664685</v>
      </c>
      <c r="AB101" s="3">
        <f t="shared" si="213"/>
        <v>35.060896876954317</v>
      </c>
      <c r="AC101" s="3">
        <f t="shared" si="214"/>
        <v>33.970455949730294</v>
      </c>
      <c r="AD101" s="3">
        <f t="shared" si="215"/>
        <v>32.448505436054326</v>
      </c>
      <c r="AE101" s="3">
        <f t="shared" si="216"/>
        <v>30.158710845000819</v>
      </c>
      <c r="AF101" s="3">
        <f t="shared" si="217"/>
        <v>26.400868063250957</v>
      </c>
      <c r="AG101" s="3">
        <f t="shared" si="218"/>
        <v>19.609993043925538</v>
      </c>
      <c r="AH101" s="3">
        <v>0</v>
      </c>
      <c r="AI101"/>
      <c r="AJ101"/>
      <c r="AK101"/>
      <c r="AL101"/>
      <c r="AO101" s="17"/>
      <c r="AP101" s="3">
        <f t="shared" si="116"/>
        <v>-358800000</v>
      </c>
      <c r="AQ101" s="3">
        <f t="shared" si="117"/>
        <v>-215278397.15358901</v>
      </c>
      <c r="AR101" s="3">
        <f t="shared" si="118"/>
        <v>-188204324.95976514</v>
      </c>
      <c r="AS101" s="3">
        <f t="shared" si="119"/>
        <v>-173588969.45560533</v>
      </c>
      <c r="AT101" s="3">
        <f t="shared" si="120"/>
        <v>-164792486.21711963</v>
      </c>
      <c r="AU101" s="3">
        <f t="shared" si="121"/>
        <v>-158954365.88624555</v>
      </c>
      <c r="AV101" s="3">
        <f t="shared" si="122"/>
        <v>-154749803.57720143</v>
      </c>
      <c r="AW101" s="3">
        <f t="shared" si="123"/>
        <v>-151516582.94641599</v>
      </c>
      <c r="AX101" s="3">
        <f t="shared" si="124"/>
        <v>-148897163.80206668</v>
      </c>
      <c r="AY101" s="3">
        <f t="shared" si="125"/>
        <v>-146683253.67824933</v>
      </c>
      <c r="AZ101" s="3">
        <f t="shared" si="126"/>
        <v>-144743986.30074149</v>
      </c>
      <c r="BA101" s="3">
        <f t="shared" si="127"/>
        <v>-142990469.07603532</v>
      </c>
      <c r="BB101" s="3">
        <f t="shared" si="128"/>
        <v>-141356965.43431082</v>
      </c>
      <c r="BC101" s="3">
        <f t="shared" si="129"/>
        <v>-139789974.89387307</v>
      </c>
      <c r="BD101" s="3">
        <f t="shared" si="130"/>
        <v>-138241036.21246052</v>
      </c>
      <c r="BE101" s="3">
        <f t="shared" si="131"/>
        <v>-136660988.04937911</v>
      </c>
      <c r="BF101" s="3">
        <f t="shared" si="132"/>
        <v>-134994111.98603544</v>
      </c>
      <c r="BG101" s="3">
        <f t="shared" si="133"/>
        <v>-133170536.10904831</v>
      </c>
      <c r="BH101" s="3">
        <f t="shared" si="134"/>
        <v>-131094463.07454269</v>
      </c>
      <c r="BI101" s="3">
        <f t="shared" si="135"/>
        <v>-128623635.86606078</v>
      </c>
      <c r="BJ101" s="3">
        <f t="shared" si="136"/>
        <v>-125530339.92657541</v>
      </c>
      <c r="BK101" s="3">
        <f t="shared" si="137"/>
        <v>-121421889.33244927</v>
      </c>
      <c r="BL101" s="3">
        <f t="shared" si="138"/>
        <v>-115567558.95615371</v>
      </c>
      <c r="BM101" s="3">
        <f t="shared" si="139"/>
        <v>-106497970.84104419</v>
      </c>
      <c r="BN101" s="3">
        <f t="shared" si="140"/>
        <v>-91023309.310444623</v>
      </c>
      <c r="BO101" s="3">
        <f t="shared" si="141"/>
        <v>-61700545.629085653</v>
      </c>
      <c r="BP101" s="3">
        <f t="shared" si="142"/>
        <v>0</v>
      </c>
      <c r="BW101" s="17"/>
      <c r="BX101" s="3">
        <v>1</v>
      </c>
      <c r="BY101" s="3">
        <f t="shared" si="143"/>
        <v>0.17972039376148968</v>
      </c>
      <c r="BZ101" s="3">
        <f t="shared" si="144"/>
        <v>0.17972039376148968</v>
      </c>
      <c r="CA101" s="3">
        <f t="shared" si="145"/>
        <v>0.17972039376148968</v>
      </c>
      <c r="CB101" s="3">
        <f t="shared" si="146"/>
        <v>0.17972039376148968</v>
      </c>
      <c r="CC101" s="3">
        <f t="shared" si="147"/>
        <v>0.17972039376148968</v>
      </c>
      <c r="CD101" s="3">
        <f t="shared" si="148"/>
        <v>0.17972039376148968</v>
      </c>
      <c r="CE101" s="3">
        <f t="shared" si="149"/>
        <v>0.17972039376148968</v>
      </c>
      <c r="CF101" s="3">
        <f t="shared" si="150"/>
        <v>0.17972039376148968</v>
      </c>
      <c r="CG101" s="3">
        <f t="shared" si="151"/>
        <v>0.17972039376148968</v>
      </c>
      <c r="CH101" s="3">
        <f t="shared" si="152"/>
        <v>0.17972039376148968</v>
      </c>
      <c r="CI101" s="3">
        <f t="shared" si="153"/>
        <v>0.17972039376148968</v>
      </c>
      <c r="CJ101" s="3">
        <f t="shared" si="154"/>
        <v>0.17972039376148968</v>
      </c>
      <c r="CK101" s="3">
        <f t="shared" si="155"/>
        <v>0.17972039376148968</v>
      </c>
      <c r="CL101" s="3">
        <f t="shared" si="156"/>
        <v>0.17972039376148968</v>
      </c>
      <c r="CM101" s="3">
        <f t="shared" si="157"/>
        <v>0.17972039376148968</v>
      </c>
      <c r="CN101" s="3">
        <f t="shared" si="158"/>
        <v>0.17972039376148968</v>
      </c>
      <c r="CO101" s="3">
        <f t="shared" si="159"/>
        <v>0.17972039376148968</v>
      </c>
      <c r="CP101" s="3">
        <f t="shared" si="160"/>
        <v>0.17972039376148968</v>
      </c>
      <c r="CQ101" s="3">
        <f t="shared" si="161"/>
        <v>0.17972039376148968</v>
      </c>
      <c r="CR101" s="3">
        <f t="shared" si="162"/>
        <v>0.17972039376148968</v>
      </c>
      <c r="CS101" s="3">
        <f t="shared" si="163"/>
        <v>0.17972039376148968</v>
      </c>
      <c r="CT101" s="3">
        <f t="shared" si="164"/>
        <v>0.17972039376148968</v>
      </c>
      <c r="CU101" s="3">
        <f t="shared" si="165"/>
        <v>0.17972039376148968</v>
      </c>
      <c r="CV101" s="3">
        <f t="shared" si="166"/>
        <v>0.17972039376148968</v>
      </c>
      <c r="CW101" s="3">
        <f t="shared" si="167"/>
        <v>0.17972039376148968</v>
      </c>
      <c r="CX101" s="3">
        <f t="shared" si="168"/>
        <v>0.17972039376148968</v>
      </c>
      <c r="DE101" s="17"/>
      <c r="DF101" s="3">
        <v>100</v>
      </c>
      <c r="DG101" s="3">
        <f t="shared" si="169"/>
        <v>46.166529601536688</v>
      </c>
      <c r="DH101" s="3">
        <f t="shared" si="170"/>
        <v>41.096722601954973</v>
      </c>
      <c r="DI101" s="3">
        <f t="shared" si="171"/>
        <v>38.359896345974619</v>
      </c>
      <c r="DJ101" s="3">
        <f t="shared" si="172"/>
        <v>36.712694108538344</v>
      </c>
      <c r="DK101" s="3">
        <f t="shared" si="173"/>
        <v>35.619465756852932</v>
      </c>
      <c r="DL101" s="3">
        <f t="shared" si="174"/>
        <v>34.832132426574233</v>
      </c>
      <c r="DM101" s="3">
        <f t="shared" si="175"/>
        <v>34.226689533912989</v>
      </c>
      <c r="DN101" s="3">
        <f t="shared" si="176"/>
        <v>33.736185208675579</v>
      </c>
      <c r="DO101" s="3">
        <f t="shared" si="177"/>
        <v>33.321615248094091</v>
      </c>
      <c r="DP101" s="3">
        <f t="shared" si="178"/>
        <v>32.958474038520428</v>
      </c>
      <c r="DQ101" s="3">
        <f t="shared" si="179"/>
        <v>32.630115827902586</v>
      </c>
      <c r="DR101" s="3">
        <f t="shared" si="180"/>
        <v>32.324230989546194</v>
      </c>
      <c r="DS101" s="3">
        <f t="shared" si="181"/>
        <v>32.030801188764251</v>
      </c>
      <c r="DT101" s="3">
        <f t="shared" si="182"/>
        <v>31.740751723256079</v>
      </c>
      <c r="DU101" s="3">
        <f t="shared" si="183"/>
        <v>31.444876792454433</v>
      </c>
      <c r="DV101" s="3">
        <f t="shared" si="184"/>
        <v>31.132742737670359</v>
      </c>
      <c r="DW101" s="3">
        <f t="shared" si="185"/>
        <v>30.791265560567805</v>
      </c>
      <c r="DX101" s="3">
        <f t="shared" si="186"/>
        <v>30.402506546902313</v>
      </c>
      <c r="DY101" s="3">
        <f t="shared" si="187"/>
        <v>29.939827087874491</v>
      </c>
      <c r="DZ101" s="3">
        <f t="shared" si="188"/>
        <v>29.360586060019138</v>
      </c>
      <c r="EA101" s="3">
        <f t="shared" si="189"/>
        <v>28.591250312133827</v>
      </c>
      <c r="EB101" s="3">
        <f t="shared" si="190"/>
        <v>27.494986517492038</v>
      </c>
      <c r="EC101" s="3">
        <f t="shared" si="191"/>
        <v>25.796643505767531</v>
      </c>
      <c r="ED101" s="3">
        <f t="shared" si="192"/>
        <v>22.898906261723081</v>
      </c>
      <c r="EE101" s="3">
        <f t="shared" si="193"/>
        <v>17.408016250993676</v>
      </c>
      <c r="EF101" s="3">
        <v>0</v>
      </c>
    </row>
    <row r="102" spans="7:136" x14ac:dyDescent="0.3">
      <c r="G102" s="16"/>
      <c r="H102" s="3">
        <f t="shared" si="219"/>
        <v>100</v>
      </c>
      <c r="I102" s="3">
        <v>50</v>
      </c>
      <c r="J102" s="3">
        <v>50</v>
      </c>
      <c r="K102" s="3">
        <v>50</v>
      </c>
      <c r="L102" s="3">
        <v>50</v>
      </c>
      <c r="M102" s="3">
        <v>50</v>
      </c>
      <c r="N102" s="3">
        <v>50</v>
      </c>
      <c r="O102" s="3">
        <v>50</v>
      </c>
      <c r="P102" s="3">
        <v>50</v>
      </c>
      <c r="Q102" s="3">
        <v>50</v>
      </c>
      <c r="R102" s="3">
        <v>50</v>
      </c>
      <c r="S102" s="3">
        <v>50</v>
      </c>
      <c r="T102" s="3">
        <v>50</v>
      </c>
      <c r="U102" s="3">
        <v>50</v>
      </c>
      <c r="V102" s="3">
        <v>50</v>
      </c>
      <c r="W102" s="3">
        <v>50</v>
      </c>
      <c r="X102" s="3">
        <v>50</v>
      </c>
      <c r="Y102" s="3">
        <v>50</v>
      </c>
      <c r="Z102" s="3">
        <v>50</v>
      </c>
      <c r="AA102" s="3">
        <v>50</v>
      </c>
      <c r="AB102" s="3">
        <v>50</v>
      </c>
      <c r="AC102" s="3">
        <v>50</v>
      </c>
      <c r="AD102" s="3">
        <v>50</v>
      </c>
      <c r="AE102" s="3">
        <v>50</v>
      </c>
      <c r="AF102" s="3">
        <v>50</v>
      </c>
      <c r="AG102" s="3">
        <v>50</v>
      </c>
      <c r="AH102" s="3">
        <v>0</v>
      </c>
      <c r="AI102"/>
      <c r="AJ102"/>
      <c r="AK102"/>
      <c r="AL102"/>
      <c r="AO102" s="17"/>
      <c r="AP102" s="3">
        <f t="shared" si="116"/>
        <v>-358800000</v>
      </c>
      <c r="AQ102" s="3">
        <f t="shared" si="117"/>
        <v>-179400000</v>
      </c>
      <c r="AR102" s="3">
        <f t="shared" si="118"/>
        <v>-179400000</v>
      </c>
      <c r="AS102" s="3">
        <f t="shared" si="119"/>
        <v>-179400000</v>
      </c>
      <c r="AT102" s="3">
        <f t="shared" si="120"/>
        <v>-179400000</v>
      </c>
      <c r="AU102" s="3">
        <f t="shared" si="121"/>
        <v>-179400000</v>
      </c>
      <c r="AV102" s="3">
        <f t="shared" si="122"/>
        <v>-179400000</v>
      </c>
      <c r="AW102" s="3">
        <f t="shared" si="123"/>
        <v>-179400000</v>
      </c>
      <c r="AX102" s="3">
        <f t="shared" si="124"/>
        <v>-179400000</v>
      </c>
      <c r="AY102" s="3">
        <f t="shared" si="125"/>
        <v>-179400000</v>
      </c>
      <c r="AZ102" s="3">
        <f t="shared" si="126"/>
        <v>-179400000</v>
      </c>
      <c r="BA102" s="3">
        <f t="shared" si="127"/>
        <v>-179400000</v>
      </c>
      <c r="BB102" s="3">
        <f t="shared" si="128"/>
        <v>-179400000</v>
      </c>
      <c r="BC102" s="3">
        <f t="shared" si="129"/>
        <v>-179400000</v>
      </c>
      <c r="BD102" s="3">
        <f t="shared" si="130"/>
        <v>-179400000</v>
      </c>
      <c r="BE102" s="3">
        <f t="shared" si="131"/>
        <v>-179400000</v>
      </c>
      <c r="BF102" s="3">
        <f t="shared" si="132"/>
        <v>-179400000</v>
      </c>
      <c r="BG102" s="3">
        <f t="shared" si="133"/>
        <v>-179400000</v>
      </c>
      <c r="BH102" s="3">
        <f t="shared" si="134"/>
        <v>-179400000</v>
      </c>
      <c r="BI102" s="3">
        <f t="shared" si="135"/>
        <v>-179400000</v>
      </c>
      <c r="BJ102" s="3">
        <f t="shared" si="136"/>
        <v>-179400000</v>
      </c>
      <c r="BK102" s="3">
        <f t="shared" si="137"/>
        <v>-179400000</v>
      </c>
      <c r="BL102" s="3">
        <f t="shared" si="138"/>
        <v>-179400000</v>
      </c>
      <c r="BM102" s="3">
        <f t="shared" si="139"/>
        <v>-179400000</v>
      </c>
      <c r="BN102" s="3">
        <f t="shared" si="140"/>
        <v>-179400000</v>
      </c>
      <c r="BO102" s="3">
        <f t="shared" si="141"/>
        <v>-179400000</v>
      </c>
      <c r="BP102" s="3">
        <f t="shared" si="142"/>
        <v>0</v>
      </c>
      <c r="BW102" s="17"/>
      <c r="BX102" s="3">
        <v>1</v>
      </c>
      <c r="BY102" s="3">
        <f t="shared" si="143"/>
        <v>0.17426273458445043</v>
      </c>
      <c r="BZ102" s="3">
        <f t="shared" si="144"/>
        <v>0.17426273458445043</v>
      </c>
      <c r="CA102" s="3">
        <f t="shared" si="145"/>
        <v>0.17426273458445043</v>
      </c>
      <c r="CB102" s="3">
        <f t="shared" si="146"/>
        <v>0.17426273458445043</v>
      </c>
      <c r="CC102" s="3">
        <f t="shared" si="147"/>
        <v>0.17426273458445043</v>
      </c>
      <c r="CD102" s="3">
        <f t="shared" si="148"/>
        <v>0.17426273458445043</v>
      </c>
      <c r="CE102" s="3">
        <f t="shared" si="149"/>
        <v>0.17426273458445043</v>
      </c>
      <c r="CF102" s="3">
        <f t="shared" si="150"/>
        <v>0.17426273458445043</v>
      </c>
      <c r="CG102" s="3">
        <f t="shared" si="151"/>
        <v>0.17426273458445043</v>
      </c>
      <c r="CH102" s="3">
        <f t="shared" si="152"/>
        <v>0.17426273458445043</v>
      </c>
      <c r="CI102" s="3">
        <f t="shared" si="153"/>
        <v>0.17426273458445043</v>
      </c>
      <c r="CJ102" s="3">
        <f t="shared" si="154"/>
        <v>0.17426273458445043</v>
      </c>
      <c r="CK102" s="3">
        <f t="shared" si="155"/>
        <v>0.17426273458445043</v>
      </c>
      <c r="CL102" s="3">
        <f t="shared" si="156"/>
        <v>0.17426273458445043</v>
      </c>
      <c r="CM102" s="3">
        <f t="shared" si="157"/>
        <v>0.17426273458445043</v>
      </c>
      <c r="CN102" s="3">
        <f t="shared" si="158"/>
        <v>0.17426273458445043</v>
      </c>
      <c r="CO102" s="3">
        <f t="shared" si="159"/>
        <v>0.17426273458445043</v>
      </c>
      <c r="CP102" s="3">
        <f t="shared" si="160"/>
        <v>0.17426273458445043</v>
      </c>
      <c r="CQ102" s="3">
        <f t="shared" si="161"/>
        <v>0.17426273458445043</v>
      </c>
      <c r="CR102" s="3">
        <f t="shared" si="162"/>
        <v>0.17426273458445043</v>
      </c>
      <c r="CS102" s="3">
        <f t="shared" si="163"/>
        <v>0.17426273458445043</v>
      </c>
      <c r="CT102" s="3">
        <f t="shared" si="164"/>
        <v>0.17426273458445043</v>
      </c>
      <c r="CU102" s="3">
        <f t="shared" si="165"/>
        <v>0.17426273458445043</v>
      </c>
      <c r="CV102" s="3">
        <f t="shared" si="166"/>
        <v>0.17426273458445043</v>
      </c>
      <c r="CW102" s="3">
        <f t="shared" si="167"/>
        <v>0.17426273458445043</v>
      </c>
      <c r="CX102" s="3">
        <f t="shared" si="168"/>
        <v>0.17426273458445043</v>
      </c>
      <c r="DE102" s="17"/>
      <c r="DF102" s="3">
        <v>100</v>
      </c>
      <c r="DG102" s="3">
        <f t="shared" si="169"/>
        <v>32.573726541554954</v>
      </c>
      <c r="DH102" s="3">
        <f t="shared" si="170"/>
        <v>32.573726541554954</v>
      </c>
      <c r="DI102" s="3">
        <f t="shared" si="171"/>
        <v>32.573726541554954</v>
      </c>
      <c r="DJ102" s="3">
        <f t="shared" si="172"/>
        <v>32.573726541554954</v>
      </c>
      <c r="DK102" s="3">
        <f t="shared" si="173"/>
        <v>32.573726541554954</v>
      </c>
      <c r="DL102" s="3">
        <f t="shared" si="174"/>
        <v>32.573726541554954</v>
      </c>
      <c r="DM102" s="3">
        <f t="shared" si="175"/>
        <v>32.573726541554954</v>
      </c>
      <c r="DN102" s="3">
        <f t="shared" si="176"/>
        <v>32.573726541554954</v>
      </c>
      <c r="DO102" s="3">
        <f t="shared" si="177"/>
        <v>32.573726541554954</v>
      </c>
      <c r="DP102" s="3">
        <f t="shared" si="178"/>
        <v>32.573726541554954</v>
      </c>
      <c r="DQ102" s="3">
        <f t="shared" si="179"/>
        <v>32.573726541554954</v>
      </c>
      <c r="DR102" s="3">
        <f t="shared" si="180"/>
        <v>32.573726541554954</v>
      </c>
      <c r="DS102" s="3">
        <f t="shared" si="181"/>
        <v>32.573726541554954</v>
      </c>
      <c r="DT102" s="3">
        <f t="shared" si="182"/>
        <v>32.573726541554954</v>
      </c>
      <c r="DU102" s="3">
        <f t="shared" si="183"/>
        <v>32.573726541554954</v>
      </c>
      <c r="DV102" s="3">
        <f t="shared" si="184"/>
        <v>32.573726541554954</v>
      </c>
      <c r="DW102" s="3">
        <f t="shared" si="185"/>
        <v>32.573726541554954</v>
      </c>
      <c r="DX102" s="3">
        <f t="shared" si="186"/>
        <v>32.573726541554954</v>
      </c>
      <c r="DY102" s="3">
        <f t="shared" si="187"/>
        <v>32.573726541554954</v>
      </c>
      <c r="DZ102" s="3">
        <f t="shared" si="188"/>
        <v>32.573726541554954</v>
      </c>
      <c r="EA102" s="3">
        <f t="shared" si="189"/>
        <v>32.573726541554954</v>
      </c>
      <c r="EB102" s="3">
        <f t="shared" si="190"/>
        <v>32.573726541554954</v>
      </c>
      <c r="EC102" s="3">
        <f t="shared" si="191"/>
        <v>32.573726541554954</v>
      </c>
      <c r="ED102" s="3">
        <f t="shared" si="192"/>
        <v>32.573726541554954</v>
      </c>
      <c r="EE102" s="3">
        <f t="shared" si="193"/>
        <v>32.573726541554954</v>
      </c>
      <c r="EF102" s="3">
        <v>0</v>
      </c>
    </row>
    <row r="103" spans="7:136" x14ac:dyDescent="0.3">
      <c r="G103"/>
      <c r="H103"/>
      <c r="AI103"/>
      <c r="AJ103"/>
      <c r="AK103"/>
      <c r="AL103"/>
      <c r="AO103" s="17"/>
      <c r="BW103" s="18"/>
      <c r="DE103" s="18"/>
    </row>
    <row r="104" spans="7:136" x14ac:dyDescent="0.3">
      <c r="G104"/>
      <c r="H104"/>
      <c r="AI104"/>
      <c r="AJ104"/>
      <c r="AK104"/>
      <c r="AL104"/>
      <c r="AO104" s="17"/>
      <c r="BW104" s="18"/>
      <c r="DE104" s="18"/>
    </row>
    <row r="105" spans="7:136" x14ac:dyDescent="0.3">
      <c r="G105"/>
      <c r="H105"/>
      <c r="AI105"/>
      <c r="AJ105"/>
      <c r="AK105"/>
      <c r="AL105"/>
      <c r="AO105" s="17"/>
      <c r="BW105" s="18"/>
      <c r="DE105" s="18"/>
    </row>
    <row r="106" spans="7:136" x14ac:dyDescent="0.3">
      <c r="G106"/>
      <c r="H106"/>
      <c r="AI106"/>
      <c r="AJ106"/>
      <c r="AK106"/>
      <c r="AL106"/>
      <c r="AO106" s="17"/>
      <c r="BW106" s="18"/>
      <c r="DE106" s="18"/>
    </row>
    <row r="107" spans="7:136" x14ac:dyDescent="0.3">
      <c r="G107"/>
      <c r="H107"/>
      <c r="BW107" s="19"/>
    </row>
  </sheetData>
  <mergeCells count="13">
    <mergeCell ref="G42:G69"/>
    <mergeCell ref="G75:G102"/>
    <mergeCell ref="A2:A7"/>
    <mergeCell ref="A9:A11"/>
    <mergeCell ref="A13:A14"/>
    <mergeCell ref="A19:A21"/>
    <mergeCell ref="A24:A26"/>
    <mergeCell ref="AO43:AO73"/>
    <mergeCell ref="AO76:AO106"/>
    <mergeCell ref="DE76:DE102"/>
    <mergeCell ref="DE43:DE69"/>
    <mergeCell ref="BW76:BW102"/>
    <mergeCell ref="BW43:BW69"/>
  </mergeCells>
  <conditionalFormatting sqref="AI38:AL41 H11:AL37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2D">
                <anchor moveWithCells="1" sizeWithCells="1">
                  <from>
                    <xdr:col>0</xdr:col>
                    <xdr:colOff>297180</xdr:colOff>
                    <xdr:row>37</xdr:row>
                    <xdr:rowOff>38100</xdr:rowOff>
                  </from>
                  <to>
                    <xdr:col>2</xdr:col>
                    <xdr:colOff>259080</xdr:colOff>
                    <xdr:row>39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AJ21"/>
  <sheetViews>
    <sheetView zoomScale="70" zoomScaleNormal="70" workbookViewId="0">
      <selection activeCell="G11" sqref="G11:AI11"/>
    </sheetView>
  </sheetViews>
  <sheetFormatPr defaultRowHeight="14.4" x14ac:dyDescent="0.3"/>
  <cols>
    <col min="7" max="7" width="12.109375" bestFit="1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2</v>
      </c>
      <c r="C3" s="1">
        <f>C2/30</f>
        <v>3.3333333333333335E-3</v>
      </c>
    </row>
    <row r="4" spans="2:36" x14ac:dyDescent="0.3">
      <c r="B4" s="1" t="s">
        <v>5</v>
      </c>
      <c r="C4" s="1">
        <v>1</v>
      </c>
    </row>
    <row r="5" spans="2:36" x14ac:dyDescent="0.3">
      <c r="B5" s="1" t="s">
        <v>4</v>
      </c>
      <c r="C5" s="1">
        <v>60</v>
      </c>
      <c r="D5">
        <v>60</v>
      </c>
    </row>
    <row r="7" spans="2:36" x14ac:dyDescent="0.3">
      <c r="B7" s="1" t="s">
        <v>6</v>
      </c>
      <c r="C7" s="1">
        <v>460</v>
      </c>
    </row>
    <row r="8" spans="2:36" x14ac:dyDescent="0.3">
      <c r="B8" s="1" t="s">
        <v>7</v>
      </c>
      <c r="C8" s="1">
        <v>7800</v>
      </c>
    </row>
    <row r="9" spans="2:36" x14ac:dyDescent="0.3">
      <c r="B9" s="1" t="s">
        <v>8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9</v>
      </c>
      <c r="C11" s="1">
        <v>300</v>
      </c>
      <c r="E11" t="s">
        <v>10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3">
      <c r="B12" s="1" t="s">
        <v>11</v>
      </c>
      <c r="C12" s="1">
        <v>100</v>
      </c>
    </row>
    <row r="13" spans="2:36" x14ac:dyDescent="0.3">
      <c r="E13" t="s">
        <v>12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3">
      <c r="E15" t="s">
        <v>13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3">
      <c r="B17" s="1" t="s">
        <v>14</v>
      </c>
      <c r="C17" s="1">
        <f>C9/(C3^2)</f>
        <v>4139999.9999999991</v>
      </c>
      <c r="E17" t="s">
        <v>15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3">
      <c r="B18" s="1" t="s">
        <v>16</v>
      </c>
      <c r="C18" s="1">
        <f>2*C9/(C3^2)+C8*C7/C4</f>
        <v>11867999.999999998</v>
      </c>
    </row>
    <row r="19" spans="2:35" x14ac:dyDescent="0.3">
      <c r="B19" s="1" t="s">
        <v>17</v>
      </c>
      <c r="C19" s="1">
        <f>C17</f>
        <v>4139999.9999999991</v>
      </c>
      <c r="E19" t="s">
        <v>18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3">
      <c r="E21" t="s">
        <v>19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1D">
                <anchor moveWithCells="1" sizeWithCells="1">
                  <from>
                    <xdr:col>3</xdr:col>
                    <xdr:colOff>297180</xdr:colOff>
                    <xdr:row>25</xdr:row>
                    <xdr:rowOff>38100</xdr:rowOff>
                  </from>
                  <to>
                    <xdr:col>5</xdr:col>
                    <xdr:colOff>259080</xdr:colOff>
                    <xdr:row>27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2д</vt:lpstr>
      <vt:lpstr>1д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2021-05-28T05:03:03Z</dcterms:modified>
</cp:coreProperties>
</file>